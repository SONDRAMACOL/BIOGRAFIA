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v3" sheetId="1" state="visible" r:id="rId1"/>
    <sheet xmlns:r="http://schemas.openxmlformats.org/officeDocument/2006/relationships" name="Detalle suma cierta v3" sheetId="2" state="visible" r:id="rId2"/>
    <sheet xmlns:r="http://schemas.openxmlformats.org/officeDocument/2006/relationships" name="Pendientes v3" sheetId="3" state="visible" r:id="rId3"/>
    <sheet xmlns:r="http://schemas.openxmlformats.org/officeDocument/2006/relationships" name="Reconciliación fianza" sheetId="4" state="visible" r:id="rId4"/>
    <sheet xmlns:r="http://schemas.openxmlformats.org/officeDocument/2006/relationships" name="Soportes verificados" sheetId="5" state="visible" r:id="rId5"/>
    <sheet xmlns:r="http://schemas.openxmlformats.org/officeDocument/2006/relationships" name="Fechas docket" sheetId="6" state="visible" r:id="rId6"/>
    <sheet xmlns:r="http://schemas.openxmlformats.org/officeDocument/2006/relationships" name="Cuadro Camilo 14-o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drive.google.com/file/d/1TGYKIkPjjpgF9j8ebVLzl6E0JiECemxF/view" TargetMode="External" Id="rId1"/><Relationship Type="http://schemas.openxmlformats.org/officeDocument/2006/relationships/hyperlink" Target="https://drive.google.com/file/d/1v2I-j7IF6CrJrtXqe8T_JZk0Z0tn6k6H/view" TargetMode="External" Id="rId2"/><Relationship Type="http://schemas.openxmlformats.org/officeDocument/2006/relationships/hyperlink" Target="https://drive.google.com/file/d/1FtrVeKstxeQ8Afa6FynBNm4PFF-vIXM_/view" TargetMode="External" Id="rId3"/><Relationship Type="http://schemas.openxmlformats.org/officeDocument/2006/relationships/hyperlink" Target="https://drive.google.com/file/d/1mKx7K734bAGNbLhfZ1Fxm1Rk8GrhU8rm/view" TargetMode="External" Id="rId4"/><Relationship Type="http://schemas.openxmlformats.org/officeDocument/2006/relationships/hyperlink" Target="https://drive.google.com/file/d/1C60wmlVhSUgJ9cfc4FYvPA6BtSFE2OIW/view" TargetMode="External" Id="rId5"/><Relationship Type="http://schemas.openxmlformats.org/officeDocument/2006/relationships/hyperlink" Target="https://drive.google.com/file/d/1q1qpNCVhrwIUm6CUro00oUJf9VdB0Ekj/view" TargetMode="External" Id="rId6"/><Relationship Type="http://schemas.openxmlformats.org/officeDocument/2006/relationships/hyperlink" Target="https://drive.google.com/file/d/1uT0Ov8nxZQLjT_F79p_mkOhnBxDykbo0/view" TargetMode="External" Id="rId7"/><Relationship Type="http://schemas.openxmlformats.org/officeDocument/2006/relationships/hyperlink" Target="https://drive.google.com/file/d/1SAThxrD_rmUgTBe5RvgcwrD0ML8lcgu_/view" TargetMode="External" Id="rId8"/><Relationship Type="http://schemas.openxmlformats.org/officeDocument/2006/relationships/hyperlink" Target="https://drive.google.com/file/d/1YklEUBL5eDslss7ae65NByT9L-aoHzi-/view" TargetMode="External" Id="rId9"/><Relationship Type="http://schemas.openxmlformats.org/officeDocument/2006/relationships/hyperlink" Target="https://drive.google.com/file/d/1fUqZxcH2aBL6EGL_3At5fgcr6F5frNlG/view" TargetMode="External" Id="rId10"/><Relationship Type="http://schemas.openxmlformats.org/officeDocument/2006/relationships/hyperlink" Target="https://drive.google.com/file/d/1N2YN4etwMxBvAA30V1uOpCQoSXzizHWL/view" TargetMode="External" Id="rId11"/><Relationship Type="http://schemas.openxmlformats.org/officeDocument/2006/relationships/hyperlink" Target="https://drive.google.com/file/d/1OV1PMFCxsi-ctLugsniekFXZYOhKiN4R/view" TargetMode="External" Id="rId12"/><Relationship Type="http://schemas.openxmlformats.org/officeDocument/2006/relationships/hyperlink" Target="https://drive.google.com/file/d/15_mCGsWRD5JHfi9eHCNyqVzBGjnmteX5/view" TargetMode="External" Id="rId13"/><Relationship Type="http://schemas.openxmlformats.org/officeDocument/2006/relationships/hyperlink" Target="https://drive.google.com/file/d/1Penp3gTMqtJQuglKXbC9eZIw_LKC-xoP/view" TargetMode="External" Id="rId14"/><Relationship Type="http://schemas.openxmlformats.org/officeDocument/2006/relationships/hyperlink" Target="https://drive.google.com/file/d/1IYse4pGGf8Q_H62baF4iSBmoU4zTqq9D/view" TargetMode="External" Id="rId15"/><Relationship Type="http://schemas.openxmlformats.org/officeDocument/2006/relationships/hyperlink" Target="https://drive.google.com/file/d/1VOUjA1kbqAnXh0-L-OOcPp-YkWxQp13M/view" TargetMode="External" Id="rId16"/><Relationship Type="http://schemas.openxmlformats.org/officeDocument/2006/relationships/hyperlink" Target="https://drive.google.com/file/d/1EPyaILL3EaHFrAcLOtxDsHF2SLLfldNT/view" TargetMode="External" Id="rId17"/><Relationship Type="http://schemas.openxmlformats.org/officeDocument/2006/relationships/hyperlink" Target="https://drive.google.com/file/d/1yqDOou7MHwE3FUXycU78De-lPsKt6a9i/view" TargetMode="External" Id="rId18"/><Relationship Type="http://schemas.openxmlformats.org/officeDocument/2006/relationships/hyperlink" Target="https://drive.google.com/file/d/1xwVHq6x3VXPmI2PaJr20YM-xN86YNn05/view" TargetMode="External" Id="rId19"/><Relationship Type="http://schemas.openxmlformats.org/officeDocument/2006/relationships/hyperlink" Target="https://drive.google.com/file/d/1YNU5SVusj6ndAFBr8zYaEOWJHFCOamOh/view" TargetMode="External" Id="rId20"/><Relationship Type="http://schemas.openxmlformats.org/officeDocument/2006/relationships/hyperlink" Target="https://drive.google.com/file/d/1Woy6T-hOMiUeoyW5cw4vekoai2_evJvv/view" TargetMode="External" Id="rId21"/><Relationship Type="http://schemas.openxmlformats.org/officeDocument/2006/relationships/hyperlink" Target="https://drive.google.com/file/d/13vnFTokPyo7bpzD8oH6aWRZz5CwjTG8e/view" TargetMode="External" Id="rId22"/><Relationship Type="http://schemas.openxmlformats.org/officeDocument/2006/relationships/hyperlink" Target="https://drive.google.com/file/d/1SfFbT1kysA1DuA4OAldYtxT-hmyyDjc1/view" TargetMode="External" Id="rId23"/><Relationship Type="http://schemas.openxmlformats.org/officeDocument/2006/relationships/hyperlink" Target="https://drive.google.com/file/d/1S6AZoU5HnIdcOBXrRyPNtGJQ_BtY3P9F/view" TargetMode="External" Id="rId24"/><Relationship Type="http://schemas.openxmlformats.org/officeDocument/2006/relationships/hyperlink" Target="https://drive.google.com/file/d/1XljdxlGIy_RdzcpB9-4KNeVtG34yX-fS/view" TargetMode="External" Id="rId25"/><Relationship Type="http://schemas.openxmlformats.org/officeDocument/2006/relationships/hyperlink" Target="https://drive.google.com/file/d/1onmXBgXdV9iDuOm5LbxKV1ym7joo7koO/view" TargetMode="External" Id="rId26"/><Relationship Type="http://schemas.openxmlformats.org/officeDocument/2006/relationships/hyperlink" Target="https://drive.google.com/file/d/1_CgSWuwM10pb2erOgPPklVaKXIIbMnDX/view" TargetMode="External" Id="rId27"/><Relationship Type="http://schemas.openxmlformats.org/officeDocument/2006/relationships/hyperlink" Target="https://drive.google.com/file/d/1Ato2OddusGeUk8NTms4yWvGyWkzIjv_w/view" TargetMode="External" Id="rId28"/><Relationship Type="http://schemas.openxmlformats.org/officeDocument/2006/relationships/hyperlink" Target="https://drive.google.com/file/d/1ADIJpsYzoRjVHsjJWQftaIK0NzBoruvA/view" TargetMode="External" Id="rId29"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file/d/1TGYKIkPjjpgF9j8ebVLzl6E0JiECemxF/view?usp=sharing" TargetMode="External" Id="rId1"/><Relationship Type="http://schemas.openxmlformats.org/officeDocument/2006/relationships/hyperlink" Target="https://drive.google.com/file/d/1TGYKIkPjjpgF9j8ebVLzl6E0JiECemxF/view?usp=sharing" TargetMode="External" Id="rId2"/><Relationship Type="http://schemas.openxmlformats.org/officeDocument/2006/relationships/hyperlink" Target="https://drive.google.com/file/d/1v2I-j7IF6CrJrtXqe8T_JZk0Z0tn6k6H/view?usp=sharing" TargetMode="External" Id="rId3"/><Relationship Type="http://schemas.openxmlformats.org/officeDocument/2006/relationships/hyperlink" Target="https://drive.google.com/file/d/1FtrVeKstxeQ8Afa6FynBNm4PFF-vIXM_/view?usp=sharing" TargetMode="External" Id="rId4"/><Relationship Type="http://schemas.openxmlformats.org/officeDocument/2006/relationships/hyperlink" Target="https://drive.google.com/file/d/1mKx7K734bAGNbLhfZ1Fxm1Rk8GrhU8rm/view?usp=sharing" TargetMode="External" Id="rId5"/><Relationship Type="http://schemas.openxmlformats.org/officeDocument/2006/relationships/hyperlink" Target="https://drive.google.com/file/d/1C60wmlVhSUgJ9cfc4FYvPA6BtSFE2OIW/view?usp=sharing" TargetMode="External" Id="rId6"/><Relationship Type="http://schemas.openxmlformats.org/officeDocument/2006/relationships/hyperlink" Target="https://drive.google.com/file/d/1q1qpNCVhrwIUm6CUro00oUJf9VdB0Ekj/view?usp=sharing" TargetMode="External" Id="rId7"/><Relationship Type="http://schemas.openxmlformats.org/officeDocument/2006/relationships/hyperlink" Target="https://drive.google.com/file/d/1uT0Ov8nxZQLjT_F79p_mkOhnBxDykbo0/view?usp=sharing" TargetMode="External" Id="rId8"/><Relationship Type="http://schemas.openxmlformats.org/officeDocument/2006/relationships/hyperlink" Target="https://drive.google.com/file/d/1SAThxrD_rmUgTBe5RvgcwrD0ML8lcgu_/view?usp=sharing" TargetMode="External" Id="rId9"/><Relationship Type="http://schemas.openxmlformats.org/officeDocument/2006/relationships/hyperlink" Target="https://drive.google.com/file/d/1YklEUBL5eDslss7ae65NByT9L-aoHzi-/view?usp=sharing" TargetMode="External" Id="rId10"/><Relationship Type="http://schemas.openxmlformats.org/officeDocument/2006/relationships/hyperlink" Target="https://drive.google.com/file/d/1fUqZxcH2aBL6EGL_3At5fgcr6F5frNlG/view?usp=sharing" TargetMode="External" Id="rId11"/><Relationship Type="http://schemas.openxmlformats.org/officeDocument/2006/relationships/hyperlink" Target="https://drive.google.com/file/d/1N2YN4etwMxBvAA30V1uOpCQoSXzizHWL/view?usp=sharing" TargetMode="External" Id="rId12"/><Relationship Type="http://schemas.openxmlformats.org/officeDocument/2006/relationships/hyperlink" Target="https://drive.google.com/file/d/1OV1PMFCxsi-ctLugsniekFXZYOhKiN4R/view?usp=sharing" TargetMode="External" Id="rId13"/><Relationship Type="http://schemas.openxmlformats.org/officeDocument/2006/relationships/hyperlink" Target="https://drive.google.com/file/d/15_mCGsWRD5JHfi9eHCNyqVzBGjnmteX5/view?usp=sharing" TargetMode="External" Id="rId14"/><Relationship Type="http://schemas.openxmlformats.org/officeDocument/2006/relationships/hyperlink" Target="https://drive.google.com/file/d/1Penp3gTMqtJQuglKXbC9eZIw_LKC-xoP/view?usp=sharing" TargetMode="External" Id="rId15"/><Relationship Type="http://schemas.openxmlformats.org/officeDocument/2006/relationships/hyperlink" Target="https://drive.google.com/file/d/1IYse4pGGf8Q_H62baF4iSBmoU4zTqq9D/view?usp=sharing" TargetMode="External" Id="rId16"/><Relationship Type="http://schemas.openxmlformats.org/officeDocument/2006/relationships/hyperlink" Target="https://drive.google.com/file/d/1VOUjA1kbqAnXh0-L-OOcPp-YkWxQp13M/view?usp=sharing" TargetMode="External" Id="rId17"/><Relationship Type="http://schemas.openxmlformats.org/officeDocument/2006/relationships/hyperlink" Target="https://drive.google.com/file/d/1EPyaILL3EaHFrAcLOtxDsHF2SLLfldNT/view?usp=sharing" TargetMode="External" Id="rId18"/><Relationship Type="http://schemas.openxmlformats.org/officeDocument/2006/relationships/hyperlink" Target="https://drive.google.com/file/d/1YNU5SVusj6ndAFBr8zYaEOWJHFCOamOh/view?usp=sharing" TargetMode="External" Id="rId19"/><Relationship Type="http://schemas.openxmlformats.org/officeDocument/2006/relationships/hyperlink" Target="https://drive.google.com/file/d/1Woy6T-hOMiUeoyW5cw4vekoai2_evJvv/view?usp=sharing" TargetMode="External" Id="rId20"/><Relationship Type="http://schemas.openxmlformats.org/officeDocument/2006/relationships/hyperlink" Target="https://drive.google.com/file/d/13vnFTokPyo7bpzD8oH6aWRZz5CwjTG8e/view?usp=sharing" TargetMode="External" Id="rId21"/><Relationship Type="http://schemas.openxmlformats.org/officeDocument/2006/relationships/hyperlink" Target="https://drive.google.com/file/d/1yqDOou7MHwE3FUXycU78De-lPsKt6a9i/view?usp=sharing" TargetMode="External" Id="rId22"/><Relationship Type="http://schemas.openxmlformats.org/officeDocument/2006/relationships/hyperlink" Target="https://drive.google.com/file/d/1xwVHq6x3VXPmI2PaJr20YM-xN86YNn05/view?usp=sharing" TargetMode="External" Id="rId23"/><Relationship Type="http://schemas.openxmlformats.org/officeDocument/2006/relationships/hyperlink" Target="https://drive.google.com/file/d/1SfFbT1kysA1DuA4OAldYtxT-hmyyDjc1/view?usp=sharing" TargetMode="External" Id="rId24"/><Relationship Type="http://schemas.openxmlformats.org/officeDocument/2006/relationships/hyperlink" Target="https://drive.google.com/file/d/1S6AZoU5HnIdcOBXrRyPNtGJQ_BtY3P9F/view?usp=sharing" TargetMode="External" Id="rId25"/><Relationship Type="http://schemas.openxmlformats.org/officeDocument/2006/relationships/hyperlink" Target="https://drive.google.com/file/d/1XljdxlGIy_RdzcpB9-4KNeVtG34yX-fS/view?usp=sharing" TargetMode="External" Id="rId26"/><Relationship Type="http://schemas.openxmlformats.org/officeDocument/2006/relationships/hyperlink" Target="https://drive.google.com/file/d/1onmXBgXdV9iDuOm5LbxKV1ym7joo7koO/view?usp=sharing" TargetMode="External" Id="rId27"/><Relationship Type="http://schemas.openxmlformats.org/officeDocument/2006/relationships/hyperlink" Target="https://drive.google.com/file/d/1_CgSWuwM10pb2erOgPPklVaKXIIbMnDX/view?usp=sharing" TargetMode="External" Id="rId28"/><Relationship Type="http://schemas.openxmlformats.org/officeDocument/2006/relationships/hyperlink" Target="https://drive.google.com/file/d/1Ato2OddusGeUk8NTms4yWvGyWkzIjv_w/view?usp=sharing" TargetMode="External" Id="rId29"/><Relationship Type="http://schemas.openxmlformats.org/officeDocument/2006/relationships/hyperlink" Target="https://drive.google.com/file/d/1uT0Ov8nxZQLjT_F79p_mkOhnBxDykbo0/view?usp=sharing" TargetMode="External" Id="rId30"/><Relationship Type="http://schemas.openxmlformats.org/officeDocument/2006/relationships/hyperlink" Target="https://drive.google.com/file/d/1ADIJpsYzoRjVHsjJWQftaIK0NzBoruvA/view?usp=sharing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80" customWidth="1" min="3" max="3"/>
  </cols>
  <sheetData>
    <row r="1">
      <c r="A1" s="1" t="inlineStr">
        <is>
          <t>SUMA CIERTA ACTUALIZADA v3 · Reclamo FTCA Dr. Carlos Elías Mahecha Díaz · 15-oct-2026</t>
        </is>
      </c>
    </row>
    <row r="2" ht="75" customHeight="1">
      <c r="A2" s="2" t="inlineStr">
        <is>
          <t>Versión 3 del Anexo 6. Incorpora el correo de Camilo Mahecha del 14-oct-2026 y su cuadro 'Legal FEES_Cuadro Soportes Pago.xlsx' (hoja 'Cuadro Camilo 14-oct'). Cada soporte enlazado se abrió y verificó (hoja 'Soportes verificados'). La cifra con factura no cambia; cambia el nivel de prueba de cada partida.</t>
        </is>
      </c>
    </row>
    <row r="4">
      <c r="A4" s="3" t="inlineStr">
        <is>
          <t>Concepto</t>
        </is>
      </c>
      <c r="B4" s="3" t="inlineStr">
        <is>
          <t>USD</t>
        </is>
      </c>
      <c r="C4" s="3" t="inlineStr">
        <is>
          <t>Comentario</t>
        </is>
      </c>
    </row>
    <row r="5">
      <c r="A5" s="4" t="inlineStr">
        <is>
          <t>SUMA CIERTA DEPURADA (con factura)</t>
        </is>
      </c>
      <c r="B5" s="5">
        <f>SUM('Detalle suma cierta v3'!G2:G44)</f>
        <v/>
      </c>
      <c r="C5" s="2" t="inlineStr">
        <is>
          <t>Igual a la v2 (US$1.193.488,41): ninguna factura entra ni sale en esta versión</t>
        </is>
      </c>
    </row>
    <row r="6">
      <c r="A6" s="2" t="inlineStr">
        <is>
          <t xml:space="preserve">  Nivel 1 · factura + comprobante bancario directo</t>
        </is>
      </c>
      <c r="B6" s="6">
        <f>SUMIF('Detalle suma cierta v3'!I2:I44,"1",'Detalle suma cierta v3'!G2:G44)</f>
        <v/>
      </c>
      <c r="C6" s="2" t="inlineStr">
        <is>
          <t>Antes US$167.997,50. Suben: Salazar 6384, Cooper 102.525, The Fairway 23-032, 23-042 y 24-313</t>
        </is>
      </c>
    </row>
    <row r="7">
      <c r="A7" s="2" t="inlineStr">
        <is>
          <t xml:space="preserve">  Nivel 1-b · factura + prueba de pago indirecta</t>
        </is>
      </c>
      <c r="B7" s="6">
        <f>SUMIF('Detalle suma cierta v3'!I2:I44,"1-b",'Detalle suma cierta v3'!G2:G44)</f>
        <v/>
      </c>
      <c r="C7" s="2" t="inlineStr">
        <is>
          <t>Pago global (Carlton), correo de confirmación del abogado o pago desde el escrow. Requiere certificación del despacho</t>
        </is>
      </c>
    </row>
    <row r="8">
      <c r="A8" s="2" t="inlineStr">
        <is>
          <t xml:space="preserve">  Nivel 2 · factura SIN prueba de pago</t>
        </is>
      </c>
      <c r="B8" s="6">
        <f>SUMIF('Detalle suma cierta v3'!I2:I44,"2",'Detalle suma cierta v3'!G2:G44)</f>
        <v/>
      </c>
      <c r="C8" s="2" t="inlineStr">
        <is>
          <t>Antes US$1.025.490,91</t>
        </is>
      </c>
    </row>
    <row r="9">
      <c r="A9" s="2" t="inlineStr">
        <is>
          <t>Control (debe ser 0)</t>
        </is>
      </c>
      <c r="B9" s="6">
        <f>B5-B6-B7-B8</f>
        <v/>
      </c>
      <c r="C9" s="2" t="inlineStr"/>
    </row>
    <row r="10">
      <c r="A10" s="2" t="inlineStr"/>
      <c r="C10" s="2" t="inlineStr"/>
    </row>
    <row r="11">
      <c r="A11" s="2" t="inlineStr">
        <is>
          <t>Adiciones con soporte documental (hoja Pendientes v3: P1 + P2)</t>
        </is>
      </c>
      <c r="B11" s="6">
        <f>'Pendientes v3'!C2+'Pendientes v3'!C3</f>
        <v/>
      </c>
      <c r="C11" s="2" t="inlineStr">
        <is>
          <t>Saldo honorario P/V + LexisNexis, pagados con la fianza devuelta (correo P/V 23-dic-2024). Nivel 1-b</t>
        </is>
      </c>
    </row>
    <row r="12">
      <c r="A12" s="2" t="inlineStr">
        <is>
          <t>Posibles adiciones aún sin soporte suficiente (P4, P5, P6, P8)</t>
        </is>
      </c>
      <c r="B12" s="6">
        <f>'Pendientes v3'!C5+'Pendientes v3'!C6+'Pendientes v3'!C7+'Pendientes v3'!C9</f>
        <v/>
      </c>
      <c r="C12" s="2" t="inlineStr">
        <is>
          <t>Solo entran si llega el soporte indicado</t>
        </is>
      </c>
    </row>
    <row r="13">
      <c r="A13" s="2" t="inlineStr">
        <is>
          <t>Costos del bail bond agent (P3) · estimado</t>
        </is>
      </c>
      <c r="B13" s="6">
        <f>'Pendientes v3'!C4</f>
        <v/>
      </c>
      <c r="C13" s="2" t="inlineStr">
        <is>
          <t>Cifra deducida del relato de Camilo; requiere contrato y recibos del bondsman</t>
        </is>
      </c>
    </row>
    <row r="14">
      <c r="A14" s="2" t="inlineStr">
        <is>
          <t>Everlaw (P7) · porción penal</t>
        </is>
      </c>
      <c r="C14" s="2" t="inlineStr">
        <is>
          <t>Por determinar: requiere distribución civil/penal certificada por Salazar</t>
        </is>
      </c>
    </row>
    <row r="15">
      <c r="A15" s="2" t="inlineStr"/>
      <c r="C15" s="2" t="inlineStr"/>
    </row>
    <row r="16">
      <c r="A16" s="4" t="inlineStr">
        <is>
          <t>Cifra radicable HOY con estándar estricto (solo Nivel 1)</t>
        </is>
      </c>
      <c r="B16" s="5">
        <f>B6</f>
        <v/>
      </c>
      <c r="C16" s="2" t="inlineStr">
        <is>
          <t>Antes US$167.997,50</t>
        </is>
      </c>
    </row>
    <row r="17">
      <c r="A17" s="4" t="inlineStr">
        <is>
          <t>Cifra radicable con Nivel 1 + 1-b (si llegan las certificaciones)</t>
        </is>
      </c>
      <c r="B17" s="5">
        <f>B6+B7+B11</f>
        <v/>
      </c>
      <c r="C17" s="2" t="inlineStr"/>
    </row>
    <row r="18">
      <c r="A18" s="4" t="inlineStr">
        <is>
          <t>TECHO documentable (todo, sin P3 ni Everlaw)</t>
        </is>
      </c>
      <c r="B18" s="5">
        <f>B5+B11+B12</f>
        <v/>
      </c>
      <c r="C18" s="2" t="inlineStr"/>
    </row>
    <row r="20">
      <c r="A20" s="7" t="inlineStr">
        <is>
          <t>NOTAS</t>
        </is>
      </c>
    </row>
    <row r="21" ht="48" customHeight="1">
      <c r="A21" s="2" t="inlineStr">
        <is>
          <t>Niveles: 1 = factura + SWIFT/transferencia directa que la identifica. 1-b = factura + prueba indirecta (pago global sin imputación, correo de confirmación del abogado, o pago hecho por P/V desde la fianza devuelta). 2 = solo factura.</t>
        </is>
      </c>
    </row>
    <row r="22" ht="48" customHeight="1">
      <c r="A22" s="2" t="inlineStr">
        <is>
          <t>El SF-95 se firma bajo 18 U.S.C. §§ 287 y 1001: ninguna partida de Nivel 2 debería radicarse sin su comprobante. Las de Nivel 1-b requieren la certificación indicada en la hoja de detalle.</t>
        </is>
      </c>
    </row>
    <row r="23" ht="48" customHeight="1">
      <c r="A23" s="2" t="inlineStr">
        <is>
          <t>Pagadores identificados: Trevanes Company Ltd. (BVI), Lenaine Ltd. (BVI), Inversiones Carelmah SAS (Colombia), cuenta BofA de Carlos Mahecha Díaz / Anastasia Casas, y cuenta BofA de Camilo E. Mahecha. Sigue pendiente probar que los fondos de las sociedades eran del Dr. Mahecha; los pagos de Camilo requieren prueba de reembolso.</t>
        </is>
      </c>
    </row>
    <row r="24" ht="48" customHeight="1">
      <c r="A24" s="2" t="inlineStr">
        <is>
          <t>Privación de libertad (docket): arresto/entrega 5-may-2023; liberado 9-may-2023 (DE 15-16); GPS retirado 24-ago-2023 (DE 32) = 107 días con GPS; luego 455 días en libertad bajo condiciones sin GPS hasta el veredicto (21-nov-2024). Ver hoja 'Fechas docket'.</t>
        </is>
      </c>
    </row>
    <row r="25" ht="48" customHeight="1">
      <c r="A25" s="2" t="inlineStr">
        <is>
          <t>Daño moral/reputacional y privación de libertad NO están en esta suma: ver memorando del 15-oct-2026.</t>
        </is>
      </c>
    </row>
  </sheetData>
  <mergeCells count="6">
    <mergeCell ref="A25:C25"/>
    <mergeCell ref="A23:C23"/>
    <mergeCell ref="A22:C22"/>
    <mergeCell ref="A21:C21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38" customWidth="1" min="3" max="3"/>
    <col width="14" customWidth="1" min="4" max="4"/>
    <col width="5" customWidth="1" min="5" max="5"/>
    <col width="14" customWidth="1" min="6" max="6"/>
    <col width="14" customWidth="1" min="7" max="7"/>
    <col width="9" customWidth="1" min="8" max="8"/>
    <col width="9" customWidth="1" min="9" max="9"/>
    <col width="60" customWidth="1" min="10" max="10"/>
    <col width="26" customWidth="1" min="11" max="11"/>
    <col width="60" customWidth="1" min="12" max="12"/>
  </cols>
  <sheetData>
    <row r="1">
      <c r="A1" s="3" t="inlineStr">
        <is>
          <t>Fila v1</t>
        </is>
      </c>
      <c r="B1" s="3" t="inlineStr">
        <is>
          <t>Fecha</t>
        </is>
      </c>
      <c r="C1" s="3" t="inlineStr">
        <is>
          <t>Partida</t>
        </is>
      </c>
      <c r="D1" s="3" t="inlineStr">
        <is>
          <t>Factura</t>
        </is>
      </c>
      <c r="E1" s="3" t="inlineStr">
        <is>
          <t>Cat.</t>
        </is>
      </c>
      <c r="F1" s="3" t="inlineStr">
        <is>
          <t>USD según Excel Camilo</t>
        </is>
      </c>
      <c r="G1" s="3" t="inlineStr">
        <is>
          <t>USD en suma cierta</t>
        </is>
      </c>
      <c r="H1" s="3" t="inlineStr">
        <is>
          <t>Nivel v2 (29-sep)</t>
        </is>
      </c>
      <c r="I1" s="3" t="inlineStr">
        <is>
          <t>Nivel v3 (15-oct)</t>
        </is>
      </c>
      <c r="J1" s="3" t="inlineStr">
        <is>
          <t>Soporte de pago (verificado 15-oct)</t>
        </is>
      </c>
      <c r="K1" s="3" t="inlineStr">
        <is>
          <t>Pagador</t>
        </is>
      </c>
      <c r="L1" s="3" t="inlineStr">
        <is>
          <t>Observación / qué falta</t>
        </is>
      </c>
    </row>
    <row r="2">
      <c r="A2" s="8" t="n">
        <v>2</v>
      </c>
      <c r="B2" s="8" t="inlineStr">
        <is>
          <t>2018-07-18</t>
        </is>
      </c>
      <c r="C2" s="8" t="inlineStr">
        <is>
          <t>K&amp;L Gates LLP · 3532701</t>
        </is>
      </c>
      <c r="D2" s="8" t="inlineStr">
        <is>
          <t>3532701</t>
        </is>
      </c>
      <c r="E2" s="8" t="inlineStr">
        <is>
          <t>B</t>
        </is>
      </c>
      <c r="F2" s="9" t="n">
        <v>25102.11</v>
      </c>
      <c r="G2" s="9" t="n">
        <v>25102.11</v>
      </c>
      <c r="H2" s="8" t="inlineStr">
        <is>
          <t>2</t>
        </is>
      </c>
      <c r="I2" s="10" t="inlineStr">
        <is>
          <t>2</t>
        </is>
      </c>
      <c r="J2" s="8" t="inlineStr">
        <is>
          <t>NINGUNO</t>
        </is>
      </c>
      <c r="K2" s="8" t="inlineStr"/>
      <c r="L2" s="8" t="inlineStr">
        <is>
          <t>Sin soporte. El enlace que Camilo puso en la fila 3556337 es el giro de US$150.000 a Carlton (mal enlazado).</t>
        </is>
      </c>
    </row>
    <row r="3">
      <c r="A3" s="8" t="n">
        <v>3</v>
      </c>
      <c r="B3" s="8" t="inlineStr">
        <is>
          <t>2018-09-24</t>
        </is>
      </c>
      <c r="C3" s="8" t="inlineStr">
        <is>
          <t>K&amp;L Gates LLP · 3556337</t>
        </is>
      </c>
      <c r="D3" s="8" t="inlineStr">
        <is>
          <t>3556337</t>
        </is>
      </c>
      <c r="E3" s="8" t="inlineStr">
        <is>
          <t>B</t>
        </is>
      </c>
      <c r="F3" s="9" t="n">
        <v>41848.18</v>
      </c>
      <c r="G3" s="9" t="n">
        <v>41848.18</v>
      </c>
      <c r="H3" s="8" t="inlineStr">
        <is>
          <t>2</t>
        </is>
      </c>
      <c r="I3" s="10" t="inlineStr">
        <is>
          <t>2</t>
        </is>
      </c>
      <c r="J3" s="8" t="inlineStr">
        <is>
          <t>NINGUNO (enlace del cuadro corresponde a Carlton)</t>
        </is>
      </c>
      <c r="K3" s="8" t="inlineStr"/>
      <c r="L3" s="8" t="inlineStr">
        <is>
          <t>Pedir a K&amp;L estado de cuenta: Camilo indica que se pagó por abonos a saldos acumulados.</t>
        </is>
      </c>
    </row>
    <row r="4">
      <c r="A4" s="8" t="n">
        <v>4</v>
      </c>
      <c r="B4" s="8" t="inlineStr">
        <is>
          <t>2018-10-31</t>
        </is>
      </c>
      <c r="C4" s="8" t="inlineStr">
        <is>
          <t>K&amp;L Gates LLP · 3579758</t>
        </is>
      </c>
      <c r="D4" s="8" t="inlineStr">
        <is>
          <t>3579758</t>
        </is>
      </c>
      <c r="E4" s="8" t="inlineStr">
        <is>
          <t>B</t>
        </is>
      </c>
      <c r="F4" s="9" t="n">
        <v>10583.5</v>
      </c>
      <c r="G4" s="9" t="n">
        <v>10583.5</v>
      </c>
      <c r="H4" s="8" t="inlineStr">
        <is>
          <t>2</t>
        </is>
      </c>
      <c r="I4" s="10" t="inlineStr">
        <is>
          <t>2</t>
        </is>
      </c>
      <c r="J4" s="8" t="inlineStr">
        <is>
          <t>NINGUNO</t>
        </is>
      </c>
      <c r="K4" s="8" t="inlineStr"/>
      <c r="L4" s="8" t="inlineStr">
        <is>
          <t>Faltan facturas anteriores con saldos de US$182.095 y US$250.139.</t>
        </is>
      </c>
    </row>
    <row r="5">
      <c r="A5" s="8" t="n">
        <v>6</v>
      </c>
      <c r="B5" s="8" t="inlineStr">
        <is>
          <t>2019-02-12</t>
        </is>
      </c>
      <c r="C5" s="8" t="inlineStr">
        <is>
          <t>Carlton Fields · 1000340</t>
        </is>
      </c>
      <c r="D5" s="8" t="inlineStr">
        <is>
          <t>1000340</t>
        </is>
      </c>
      <c r="E5" s="8" t="inlineStr">
        <is>
          <t>B</t>
        </is>
      </c>
      <c r="F5" s="9" t="n">
        <v>17785</v>
      </c>
      <c r="G5" s="9" t="n">
        <v>17785</v>
      </c>
      <c r="H5" s="8" t="inlineStr">
        <is>
          <t>2</t>
        </is>
      </c>
      <c r="I5" s="11" t="inlineStr">
        <is>
          <t>1-b</t>
        </is>
      </c>
      <c r="J5" s="8" t="inlineStr">
        <is>
          <t>Formulario cambiario Banco de Bogotá 18-jun-2019, Inversiones Carelmah SAS → Carlton Fields, US$150.000 ('ANEXO FACTURAS CONTRATO ENGAGEMENT LETTER CARLTON FIELDS')</t>
        </is>
      </c>
      <c r="K5" s="8" t="inlineStr">
        <is>
          <t>Inversiones Carelmah SAS</t>
        </is>
      </c>
      <c r="L5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6">
      <c r="A6" s="8" t="n">
        <v>7</v>
      </c>
      <c r="B6" s="8" t="inlineStr">
        <is>
          <t>2019-03-27</t>
        </is>
      </c>
      <c r="C6" s="8" t="inlineStr">
        <is>
          <t>Carlton Fields · 1006159</t>
        </is>
      </c>
      <c r="D6" s="8" t="inlineStr">
        <is>
          <t>1006159</t>
        </is>
      </c>
      <c r="E6" s="8" t="inlineStr">
        <is>
          <t>B</t>
        </is>
      </c>
      <c r="F6" s="9" t="n">
        <v>38385.6</v>
      </c>
      <c r="G6" s="9" t="n">
        <v>38385.6</v>
      </c>
      <c r="H6" s="8" t="inlineStr">
        <is>
          <t>2</t>
        </is>
      </c>
      <c r="I6" s="11" t="inlineStr">
        <is>
          <t>1-b</t>
        </is>
      </c>
      <c r="J6" s="8" t="inlineStr">
        <is>
          <t>Formulario cambiario Banco de Bogotá 18-jun-2019, Inversiones Carelmah SAS → Carlton Fields, US$150.000 ('ANEXO FACTURAS CONTRATO ENGAGEMENT LETTER CARLTON FIELDS')</t>
        </is>
      </c>
      <c r="K6" s="8" t="inlineStr">
        <is>
          <t>Inversiones Carelmah SAS</t>
        </is>
      </c>
      <c r="L6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7">
      <c r="A7" s="8" t="n">
        <v>8</v>
      </c>
      <c r="B7" s="8" t="inlineStr">
        <is>
          <t>2019-05-22</t>
        </is>
      </c>
      <c r="C7" s="8" t="inlineStr">
        <is>
          <t>Carlton Fields · 1012558</t>
        </is>
      </c>
      <c r="D7" s="8" t="inlineStr">
        <is>
          <t>1012558</t>
        </is>
      </c>
      <c r="E7" s="8" t="inlineStr">
        <is>
          <t>B</t>
        </is>
      </c>
      <c r="F7" s="9" t="n">
        <v>13070.6</v>
      </c>
      <c r="G7" s="9" t="n">
        <v>13070.6</v>
      </c>
      <c r="H7" s="8" t="inlineStr">
        <is>
          <t>2</t>
        </is>
      </c>
      <c r="I7" s="11" t="inlineStr">
        <is>
          <t>1-b</t>
        </is>
      </c>
      <c r="J7" s="8" t="inlineStr">
        <is>
          <t>Formulario cambiario Banco de Bogotá 18-jun-2019, Inversiones Carelmah SAS → Carlton Fields, US$150.000 ('ANEXO FACTURAS CONTRATO ENGAGEMENT LETTER CARLTON FIELDS')</t>
        </is>
      </c>
      <c r="K7" s="8" t="inlineStr">
        <is>
          <t>Inversiones Carelmah SAS</t>
        </is>
      </c>
      <c r="L7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8">
      <c r="A8" s="8" t="n">
        <v>9</v>
      </c>
      <c r="B8" s="8" t="inlineStr">
        <is>
          <t>2019-06-17</t>
        </is>
      </c>
      <c r="C8" s="8" t="inlineStr">
        <is>
          <t>Carlton Fields · 1014921</t>
        </is>
      </c>
      <c r="D8" s="8" t="inlineStr">
        <is>
          <t>1014921</t>
        </is>
      </c>
      <c r="E8" s="8" t="inlineStr">
        <is>
          <t>B</t>
        </is>
      </c>
      <c r="F8" s="9" t="n">
        <v>5770.47</v>
      </c>
      <c r="G8" s="9" t="n">
        <v>5770.47</v>
      </c>
      <c r="H8" s="8" t="inlineStr">
        <is>
          <t>2</t>
        </is>
      </c>
      <c r="I8" s="11" t="inlineStr">
        <is>
          <t>1-b</t>
        </is>
      </c>
      <c r="J8" s="8" t="inlineStr">
        <is>
          <t>Formulario cambiario Banco de Bogotá 18-jun-2019, Inversiones Carelmah SAS → Carlton Fields, US$150.000 ('ANEXO FACTURAS CONTRATO ENGAGEMENT LETTER CARLTON FIELDS')</t>
        </is>
      </c>
      <c r="K8" s="8" t="inlineStr">
        <is>
          <t>Inversiones Carelmah SAS</t>
        </is>
      </c>
      <c r="L8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9">
      <c r="A9" s="8" t="n">
        <v>11</v>
      </c>
      <c r="B9" s="8" t="inlineStr">
        <is>
          <t>2019-07-19</t>
        </is>
      </c>
      <c r="C9" s="8" t="inlineStr">
        <is>
          <t>Carlton Fields · 1019377</t>
        </is>
      </c>
      <c r="D9" s="8" t="inlineStr">
        <is>
          <t>1019377</t>
        </is>
      </c>
      <c r="E9" s="8" t="inlineStr">
        <is>
          <t>B</t>
        </is>
      </c>
      <c r="F9" s="9" t="n">
        <v>990.85</v>
      </c>
      <c r="G9" s="9" t="n">
        <v>990.85</v>
      </c>
      <c r="H9" s="8" t="inlineStr">
        <is>
          <t>2</t>
        </is>
      </c>
      <c r="I9" s="11" t="inlineStr">
        <is>
          <t>1-b</t>
        </is>
      </c>
      <c r="J9" s="8" t="inlineStr">
        <is>
          <t>Formulario cambiario Banco de Bogotá 18-jun-2019, Inversiones Carelmah SAS → Carlton Fields, US$150.000 ('ANEXO FACTURAS CONTRATO ENGAGEMENT LETTER CARLTON FIELDS')</t>
        </is>
      </c>
      <c r="K9" s="8" t="inlineStr">
        <is>
          <t>Inversiones Carelmah SAS</t>
        </is>
      </c>
      <c r="L9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10">
      <c r="A10" s="8" t="n">
        <v>12</v>
      </c>
      <c r="B10" s="8" t="inlineStr">
        <is>
          <t>2019-08-27</t>
        </is>
      </c>
      <c r="C10" s="8" t="inlineStr">
        <is>
          <t>Carlton Fields · 1023833</t>
        </is>
      </c>
      <c r="D10" s="8" t="inlineStr">
        <is>
          <t>1023833</t>
        </is>
      </c>
      <c r="E10" s="8" t="inlineStr">
        <is>
          <t>B</t>
        </is>
      </c>
      <c r="F10" s="9" t="n">
        <v>393.72</v>
      </c>
      <c r="G10" s="9" t="n">
        <v>393.72</v>
      </c>
      <c r="H10" s="8" t="inlineStr">
        <is>
          <t>2</t>
        </is>
      </c>
      <c r="I10" s="11" t="inlineStr">
        <is>
          <t>1-b</t>
        </is>
      </c>
      <c r="J10" s="8" t="inlineStr">
        <is>
          <t>Formulario cambiario Banco de Bogotá 18-jun-2019, Inversiones Carelmah SAS → Carlton Fields, US$150.000 ('ANEXO FACTURAS CONTRATO ENGAGEMENT LETTER CARLTON FIELDS')</t>
        </is>
      </c>
      <c r="K10" s="8" t="inlineStr">
        <is>
          <t>Inversiones Carelmah SAS</t>
        </is>
      </c>
      <c r="L10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11">
      <c r="A11" s="8" t="n">
        <v>13</v>
      </c>
      <c r="B11" s="8" t="inlineStr">
        <is>
          <t>2019-09-12</t>
        </is>
      </c>
      <c r="C11" s="8" t="inlineStr">
        <is>
          <t>Carlton Fields · 1025587</t>
        </is>
      </c>
      <c r="D11" s="8" t="inlineStr">
        <is>
          <t>1025587</t>
        </is>
      </c>
      <c r="E11" s="8" t="inlineStr">
        <is>
          <t>B</t>
        </is>
      </c>
      <c r="F11" s="9" t="n">
        <v>3795</v>
      </c>
      <c r="G11" s="9" t="n">
        <v>3795</v>
      </c>
      <c r="H11" s="8" t="inlineStr">
        <is>
          <t>2</t>
        </is>
      </c>
      <c r="I11" s="11" t="inlineStr">
        <is>
          <t>1-b</t>
        </is>
      </c>
      <c r="J11" s="8" t="inlineStr">
        <is>
          <t>Formulario cambiario Banco de Bogotá 18-jun-2019, Inversiones Carelmah SAS → Carlton Fields, US$150.000 ('ANEXO FACTURAS CONTRATO ENGAGEMENT LETTER CARLTON FIELDS')</t>
        </is>
      </c>
      <c r="K11" s="8" t="inlineStr">
        <is>
          <t>Inversiones Carelmah SAS</t>
        </is>
      </c>
      <c r="L11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12">
      <c r="A12" s="8" t="n">
        <v>14</v>
      </c>
      <c r="B12" s="8" t="inlineStr">
        <is>
          <t>2019-10-11</t>
        </is>
      </c>
      <c r="C12" s="8" t="inlineStr">
        <is>
          <t>Carlton Fields · 1029904</t>
        </is>
      </c>
      <c r="D12" s="8" t="inlineStr">
        <is>
          <t>1029904</t>
        </is>
      </c>
      <c r="E12" s="8" t="inlineStr">
        <is>
          <t>B</t>
        </is>
      </c>
      <c r="F12" s="9" t="n">
        <v>8538.200000000001</v>
      </c>
      <c r="G12" s="9" t="n">
        <v>8538.200000000001</v>
      </c>
      <c r="H12" s="8" t="inlineStr">
        <is>
          <t>2</t>
        </is>
      </c>
      <c r="I12" s="11" t="inlineStr">
        <is>
          <t>1-b</t>
        </is>
      </c>
      <c r="J12" s="8" t="inlineStr">
        <is>
          <t>Formulario cambiario Banco de Bogotá 18-jun-2019, Inversiones Carelmah SAS → Carlton Fields, US$150.000 ('ANEXO FACTURAS CONTRATO ENGAGEMENT LETTER CARLTON FIELDS')</t>
        </is>
      </c>
      <c r="K12" s="8" t="inlineStr">
        <is>
          <t>Inversiones Carelmah SAS</t>
        </is>
      </c>
      <c r="L12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13">
      <c r="A13" s="8" t="n">
        <v>15</v>
      </c>
      <c r="B13" s="8" t="inlineStr">
        <is>
          <t>2019-11-08</t>
        </is>
      </c>
      <c r="C13" s="8" t="inlineStr">
        <is>
          <t>Carlton Fields · 1033079</t>
        </is>
      </c>
      <c r="D13" s="8" t="inlineStr">
        <is>
          <t>1033079</t>
        </is>
      </c>
      <c r="E13" s="8" t="inlineStr">
        <is>
          <t>B</t>
        </is>
      </c>
      <c r="F13" s="9" t="n">
        <v>3410</v>
      </c>
      <c r="G13" s="9" t="n">
        <v>3410</v>
      </c>
      <c r="H13" s="8" t="inlineStr">
        <is>
          <t>2</t>
        </is>
      </c>
      <c r="I13" s="11" t="inlineStr">
        <is>
          <t>1-b</t>
        </is>
      </c>
      <c r="J13" s="8" t="inlineStr">
        <is>
          <t>Formulario cambiario Banco de Bogotá 18-jun-2019, Inversiones Carelmah SAS → Carlton Fields, US$150.000 ('ANEXO FACTURAS CONTRATO ENGAGEMENT LETTER CARLTON FIELDS')</t>
        </is>
      </c>
      <c r="K13" s="8" t="inlineStr">
        <is>
          <t>Inversiones Carelmah SAS</t>
        </is>
      </c>
      <c r="L13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14">
      <c r="A14" s="8" t="n">
        <v>17</v>
      </c>
      <c r="B14" s="8" t="inlineStr">
        <is>
          <t>2019-12-01</t>
        </is>
      </c>
      <c r="C14" s="8" t="inlineStr">
        <is>
          <t>Carlton Fields · 1038046</t>
        </is>
      </c>
      <c r="D14" s="8" t="inlineStr">
        <is>
          <t>1038046</t>
        </is>
      </c>
      <c r="E14" s="8" t="inlineStr">
        <is>
          <t>A</t>
        </is>
      </c>
      <c r="F14" s="9" t="n">
        <v>10148.32</v>
      </c>
      <c r="G14" s="9" t="n">
        <v>10148.32</v>
      </c>
      <c r="H14" s="8" t="inlineStr">
        <is>
          <t>2</t>
        </is>
      </c>
      <c r="I14" s="11" t="inlineStr">
        <is>
          <t>1-b</t>
        </is>
      </c>
      <c r="J14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14" s="8" t="inlineStr">
        <is>
          <t>Inversiones Carelmah SAS / Carlos Mahecha Díaz</t>
        </is>
      </c>
      <c r="L14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15">
      <c r="A15" s="8" t="n">
        <v>18</v>
      </c>
      <c r="B15" s="8" t="inlineStr">
        <is>
          <t>2020-02-11</t>
        </is>
      </c>
      <c r="C15" s="8" t="inlineStr">
        <is>
          <t>Carlton Fields · 1044363</t>
        </is>
      </c>
      <c r="D15" s="8" t="inlineStr">
        <is>
          <t>1044363</t>
        </is>
      </c>
      <c r="E15" s="8" t="inlineStr">
        <is>
          <t>A</t>
        </is>
      </c>
      <c r="F15" s="9" t="n">
        <v>2019.26</v>
      </c>
      <c r="G15" s="9" t="n">
        <v>2019.26</v>
      </c>
      <c r="H15" s="8" t="inlineStr">
        <is>
          <t>2</t>
        </is>
      </c>
      <c r="I15" s="11" t="inlineStr">
        <is>
          <t>1-b</t>
        </is>
      </c>
      <c r="J15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15" s="8" t="inlineStr">
        <is>
          <t>Inversiones Carelmah SAS / Carlos Mahecha Díaz</t>
        </is>
      </c>
      <c r="L15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16">
      <c r="A16" s="8" t="n">
        <v>19</v>
      </c>
      <c r="B16" s="8" t="inlineStr">
        <is>
          <t>2020-03-09</t>
        </is>
      </c>
      <c r="C16" s="8" t="inlineStr">
        <is>
          <t>Carlton Fields · 1048137</t>
        </is>
      </c>
      <c r="D16" s="8" t="inlineStr">
        <is>
          <t>1048137</t>
        </is>
      </c>
      <c r="E16" s="8" t="inlineStr">
        <is>
          <t>A</t>
        </is>
      </c>
      <c r="F16" s="9" t="n">
        <v>5047.34</v>
      </c>
      <c r="G16" s="9" t="n">
        <v>5047.34</v>
      </c>
      <c r="H16" s="8" t="inlineStr">
        <is>
          <t>2</t>
        </is>
      </c>
      <c r="I16" s="11" t="inlineStr">
        <is>
          <t>1-b</t>
        </is>
      </c>
      <c r="J16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16" s="8" t="inlineStr">
        <is>
          <t>Inversiones Carelmah SAS / Carlos Mahecha Díaz</t>
        </is>
      </c>
      <c r="L16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17">
      <c r="A17" s="8" t="n">
        <v>21</v>
      </c>
      <c r="B17" s="8" t="inlineStr">
        <is>
          <t>2020-04-15</t>
        </is>
      </c>
      <c r="C17" s="8" t="inlineStr">
        <is>
          <t>Carlton Fields · 1053502</t>
        </is>
      </c>
      <c r="D17" s="8" t="inlineStr">
        <is>
          <t>1053502</t>
        </is>
      </c>
      <c r="E17" s="8" t="inlineStr">
        <is>
          <t>A</t>
        </is>
      </c>
      <c r="F17" s="9" t="n">
        <v>10146.61</v>
      </c>
      <c r="G17" s="9" t="n">
        <v>10146.61</v>
      </c>
      <c r="H17" s="8" t="inlineStr">
        <is>
          <t>2</t>
        </is>
      </c>
      <c r="I17" s="11" t="inlineStr">
        <is>
          <t>1-b</t>
        </is>
      </c>
      <c r="J17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17" s="8" t="inlineStr">
        <is>
          <t>Inversiones Carelmah SAS / Carlos Mahecha Díaz</t>
        </is>
      </c>
      <c r="L17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18">
      <c r="A18" s="8" t="n">
        <v>22</v>
      </c>
      <c r="B18" s="8" t="inlineStr">
        <is>
          <t>2020-05-20</t>
        </is>
      </c>
      <c r="C18" s="8" t="inlineStr">
        <is>
          <t>Carlton Fields · 1058555</t>
        </is>
      </c>
      <c r="D18" s="8" t="inlineStr">
        <is>
          <t>1058555</t>
        </is>
      </c>
      <c r="E18" s="8" t="inlineStr">
        <is>
          <t>A</t>
        </is>
      </c>
      <c r="F18" s="9" t="n">
        <v>11220</v>
      </c>
      <c r="G18" s="9" t="n">
        <v>11220</v>
      </c>
      <c r="H18" s="8" t="inlineStr">
        <is>
          <t>2</t>
        </is>
      </c>
      <c r="I18" s="11" t="inlineStr">
        <is>
          <t>1-b</t>
        </is>
      </c>
      <c r="J18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18" s="8" t="inlineStr">
        <is>
          <t>Inversiones Carelmah SAS / Carlos Mahecha Díaz</t>
        </is>
      </c>
      <c r="L18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19">
      <c r="A19" s="8" t="n">
        <v>24</v>
      </c>
      <c r="B19" s="8" t="inlineStr">
        <is>
          <t>2020-06-30</t>
        </is>
      </c>
      <c r="C19" s="8" t="inlineStr">
        <is>
          <t>Carlton Fields · 1063082</t>
        </is>
      </c>
      <c r="D19" s="8" t="inlineStr">
        <is>
          <t>1063082</t>
        </is>
      </c>
      <c r="E19" s="8" t="inlineStr">
        <is>
          <t>A</t>
        </is>
      </c>
      <c r="F19" s="9" t="n">
        <v>4683.86</v>
      </c>
      <c r="G19" s="9" t="n">
        <v>4683.86</v>
      </c>
      <c r="H19" s="8" t="inlineStr">
        <is>
          <t>2</t>
        </is>
      </c>
      <c r="I19" s="11" t="inlineStr">
        <is>
          <t>1-b</t>
        </is>
      </c>
      <c r="J19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19" s="8" t="inlineStr">
        <is>
          <t>Inversiones Carelmah SAS / Carlos Mahecha Díaz</t>
        </is>
      </c>
      <c r="L19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20">
      <c r="A20" s="8" t="n">
        <v>25</v>
      </c>
      <c r="B20" s="8" t="inlineStr">
        <is>
          <t>2020-07-21</t>
        </is>
      </c>
      <c r="C20" s="8" t="inlineStr">
        <is>
          <t>Carlton Fields · 1066204</t>
        </is>
      </c>
      <c r="D20" s="8" t="inlineStr">
        <is>
          <t>1066204</t>
        </is>
      </c>
      <c r="E20" s="8" t="inlineStr">
        <is>
          <t>A</t>
        </is>
      </c>
      <c r="F20" s="9" t="n">
        <v>9747.5</v>
      </c>
      <c r="G20" s="9" t="n">
        <v>9747.5</v>
      </c>
      <c r="H20" s="8" t="inlineStr">
        <is>
          <t>2</t>
        </is>
      </c>
      <c r="I20" s="11" t="inlineStr">
        <is>
          <t>1-b</t>
        </is>
      </c>
      <c r="J20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20" s="8" t="inlineStr">
        <is>
          <t>Inversiones Carelmah SAS / Carlos Mahecha Díaz</t>
        </is>
      </c>
      <c r="L20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21">
      <c r="A21" s="8" t="n">
        <v>27</v>
      </c>
      <c r="B21" s="8" t="inlineStr">
        <is>
          <t>2020-08-11</t>
        </is>
      </c>
      <c r="C21" s="8" t="inlineStr">
        <is>
          <t>Carlton Fields · 1068269</t>
        </is>
      </c>
      <c r="D21" s="8" t="inlineStr">
        <is>
          <t>1068269</t>
        </is>
      </c>
      <c r="E21" s="8" t="inlineStr">
        <is>
          <t>A</t>
        </is>
      </c>
      <c r="F21" s="9" t="n">
        <v>3962.84</v>
      </c>
      <c r="G21" s="9" t="n">
        <v>3962.84</v>
      </c>
      <c r="H21" s="8" t="inlineStr">
        <is>
          <t>2</t>
        </is>
      </c>
      <c r="I21" s="11" t="inlineStr">
        <is>
          <t>1-b</t>
        </is>
      </c>
      <c r="J21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21" s="8" t="inlineStr">
        <is>
          <t>Inversiones Carelmah SAS / Carlos Mahecha Díaz</t>
        </is>
      </c>
      <c r="L21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22">
      <c r="A22" s="8" t="n">
        <v>28</v>
      </c>
      <c r="B22" s="8" t="inlineStr">
        <is>
          <t>2020-09-22</t>
        </is>
      </c>
      <c r="C22" s="8" t="inlineStr">
        <is>
          <t>Carlton Fields · 1074721</t>
        </is>
      </c>
      <c r="D22" s="8" t="inlineStr">
        <is>
          <t>1074721</t>
        </is>
      </c>
      <c r="E22" s="8" t="inlineStr">
        <is>
          <t>A</t>
        </is>
      </c>
      <c r="F22" s="9" t="n">
        <v>6710</v>
      </c>
      <c r="G22" s="9" t="n">
        <v>6710</v>
      </c>
      <c r="H22" s="8" t="inlineStr">
        <is>
          <t>2</t>
        </is>
      </c>
      <c r="I22" s="11" t="inlineStr">
        <is>
          <t>1-b</t>
        </is>
      </c>
      <c r="J22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22" s="8" t="inlineStr">
        <is>
          <t>Inversiones Carelmah SAS / Carlos Mahecha Díaz</t>
        </is>
      </c>
      <c r="L22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23">
      <c r="A23" s="8" t="n">
        <v>30</v>
      </c>
      <c r="B23" s="8" t="inlineStr">
        <is>
          <t>2020-10-25</t>
        </is>
      </c>
      <c r="C23" s="8" t="inlineStr">
        <is>
          <t>Carlton Fields · 1080049</t>
        </is>
      </c>
      <c r="D23" s="8" t="inlineStr">
        <is>
          <t>1080049</t>
        </is>
      </c>
      <c r="E23" s="8" t="inlineStr">
        <is>
          <t>A</t>
        </is>
      </c>
      <c r="F23" s="9" t="n">
        <v>1870</v>
      </c>
      <c r="G23" s="9" t="n">
        <v>1870</v>
      </c>
      <c r="H23" s="8" t="inlineStr">
        <is>
          <t>2</t>
        </is>
      </c>
      <c r="I23" s="11" t="inlineStr">
        <is>
          <t>1-b</t>
        </is>
      </c>
      <c r="J23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23" s="8" t="inlineStr">
        <is>
          <t>Inversiones Carelmah SAS / Carlos Mahecha Díaz</t>
        </is>
      </c>
      <c r="L23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24">
      <c r="A24" s="8" t="n">
        <v>33</v>
      </c>
      <c r="B24" s="8" t="inlineStr">
        <is>
          <t>2020-11-29</t>
        </is>
      </c>
      <c r="C24" s="8" t="inlineStr">
        <is>
          <t>Carlton Fields · 1084115</t>
        </is>
      </c>
      <c r="D24" s="8" t="inlineStr">
        <is>
          <t>1084115</t>
        </is>
      </c>
      <c r="E24" s="8" t="inlineStr">
        <is>
          <t>A</t>
        </is>
      </c>
      <c r="F24" s="9" t="n">
        <v>385</v>
      </c>
      <c r="G24" s="9" t="n">
        <v>385</v>
      </c>
      <c r="H24" s="8" t="inlineStr">
        <is>
          <t>2</t>
        </is>
      </c>
      <c r="I24" s="11" t="inlineStr">
        <is>
          <t>1-b</t>
        </is>
      </c>
      <c r="J24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24" s="8" t="inlineStr">
        <is>
          <t>Inversiones Carelmah SAS / Carlos Mahecha Díaz</t>
        </is>
      </c>
      <c r="L24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25">
      <c r="A25" s="8" t="n">
        <v>34</v>
      </c>
      <c r="B25" s="8" t="inlineStr">
        <is>
          <t>2020-11-30</t>
        </is>
      </c>
      <c r="C25" s="8" t="inlineStr">
        <is>
          <t>Carlton Fields · 1086994</t>
        </is>
      </c>
      <c r="D25" s="8" t="inlineStr">
        <is>
          <t>1086994</t>
        </is>
      </c>
      <c r="E25" s="8" t="inlineStr">
        <is>
          <t>A</t>
        </is>
      </c>
      <c r="F25" s="9" t="n">
        <v>220</v>
      </c>
      <c r="G25" s="9" t="n">
        <v>220</v>
      </c>
      <c r="H25" s="8" t="inlineStr">
        <is>
          <t>2</t>
        </is>
      </c>
      <c r="I25" s="11" t="inlineStr">
        <is>
          <t>1-b</t>
        </is>
      </c>
      <c r="J25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25" s="8" t="inlineStr">
        <is>
          <t>Inversiones Carelmah SAS / Carlos Mahecha Díaz</t>
        </is>
      </c>
      <c r="L25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26">
      <c r="A26" s="8" t="n">
        <v>38</v>
      </c>
      <c r="B26" s="8" t="inlineStr">
        <is>
          <t>2021-01-20</t>
        </is>
      </c>
      <c r="C26" s="8" t="inlineStr">
        <is>
          <t>Carlton Fields · 1090325</t>
        </is>
      </c>
      <c r="D26" s="8" t="inlineStr">
        <is>
          <t>1090325</t>
        </is>
      </c>
      <c r="E26" s="8" t="inlineStr">
        <is>
          <t>A</t>
        </is>
      </c>
      <c r="F26" s="9" t="n">
        <v>882.4299999999999</v>
      </c>
      <c r="G26" s="9" t="n">
        <v>882.4299999999999</v>
      </c>
      <c r="H26" s="8" t="inlineStr">
        <is>
          <t>2</t>
        </is>
      </c>
      <c r="I26" s="11" t="inlineStr">
        <is>
          <t>1-b</t>
        </is>
      </c>
      <c r="J26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26" s="8" t="inlineStr">
        <is>
          <t>Inversiones Carelmah SAS / Carlos Mahecha Díaz</t>
        </is>
      </c>
      <c r="L26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27">
      <c r="A27" s="8" t="n">
        <v>39</v>
      </c>
      <c r="B27" s="8" t="inlineStr">
        <is>
          <t>2021-02-10</t>
        </is>
      </c>
      <c r="C27" s="8" t="inlineStr">
        <is>
          <t>Carlton Fields · 1093037</t>
        </is>
      </c>
      <c r="D27" s="8" t="inlineStr">
        <is>
          <t>1093037</t>
        </is>
      </c>
      <c r="E27" s="8" t="inlineStr">
        <is>
          <t>A</t>
        </is>
      </c>
      <c r="F27" s="9" t="n">
        <v>275</v>
      </c>
      <c r="G27" s="9" t="n">
        <v>275</v>
      </c>
      <c r="H27" s="8" t="inlineStr">
        <is>
          <t>2</t>
        </is>
      </c>
      <c r="I27" s="11" t="inlineStr">
        <is>
          <t>1-b</t>
        </is>
      </c>
      <c r="J27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27" s="8" t="inlineStr">
        <is>
          <t>Inversiones Carelmah SAS / Carlos Mahecha Díaz</t>
        </is>
      </c>
      <c r="L27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28">
      <c r="A28" s="8" t="n">
        <v>42</v>
      </c>
      <c r="B28" s="8" t="inlineStr">
        <is>
          <t>2021-03-08</t>
        </is>
      </c>
      <c r="C28" s="8" t="inlineStr">
        <is>
          <t>Piñera-Vázquez · mar-2021 (porción con pago)</t>
        </is>
      </c>
      <c r="D28" s="8" t="inlineStr">
        <is>
          <t>Invoice mar-2021</t>
        </is>
      </c>
      <c r="E28" s="8" t="inlineStr">
        <is>
          <t>A</t>
        </is>
      </c>
      <c r="F28" s="9" t="n">
        <v>155000</v>
      </c>
      <c r="G28" s="9" t="n">
        <v>45000</v>
      </c>
      <c r="H28" s="8" t="inlineStr">
        <is>
          <t>1</t>
        </is>
      </c>
      <c r="I28" s="12" t="inlineStr">
        <is>
          <t>1</t>
        </is>
      </c>
      <c r="J28" s="8" t="inlineStr">
        <is>
          <t>SWIFT 24-feb-2022 Trevanes Co. Ltd. → Piñera-Vázquez Law Firm P.A. US$45.000</t>
        </is>
      </c>
      <c r="K28" s="8" t="inlineStr">
        <is>
          <t>Trevanes Company Ltd.</t>
        </is>
      </c>
      <c r="L28" s="8" t="inlineStr">
        <is>
          <t>Sin cambio. Falta confirmar con P/V la imputación a esta factura.</t>
        </is>
      </c>
    </row>
    <row r="29">
      <c r="A29" s="8" t="n">
        <v>42</v>
      </c>
      <c r="B29" s="8" t="inlineStr">
        <is>
          <t>2021-03-08</t>
        </is>
      </c>
      <c r="C29" s="8" t="inlineStr">
        <is>
          <t>Piñera-Vázquez · mar-2021 (saldo sin pago)</t>
        </is>
      </c>
      <c r="D29" s="8" t="inlineStr">
        <is>
          <t>Invoice mar-2021</t>
        </is>
      </c>
      <c r="E29" s="8" t="inlineStr">
        <is>
          <t>A</t>
        </is>
      </c>
      <c r="F29" s="9" t="n">
        <v>155000</v>
      </c>
      <c r="G29" s="9" t="n">
        <v>110000</v>
      </c>
      <c r="H29" s="8" t="inlineStr">
        <is>
          <t>2</t>
        </is>
      </c>
      <c r="I29" s="10" t="inlineStr">
        <is>
          <t>2</t>
        </is>
      </c>
      <c r="J29" s="8" t="inlineStr">
        <is>
          <t>Enlace del cuadro de Camilo (MMG Bank - Trevanes) NO ACCESIBLE: Drive responde 'no encontrado'</t>
        </is>
      </c>
      <c r="K29" s="8" t="inlineStr">
        <is>
          <t>Trevanes Company Ltd. (según Camilo)</t>
        </is>
      </c>
      <c r="L29" s="8" t="inlineStr">
        <is>
          <t>Pedir a Camilo que comparta de nuevo el soporte, y a P/V el estado de cuenta 2021-2022.</t>
        </is>
      </c>
    </row>
    <row r="30">
      <c r="A30" s="8" t="n">
        <v>45</v>
      </c>
      <c r="B30" s="8" t="inlineStr">
        <is>
          <t>2021-03-16</t>
        </is>
      </c>
      <c r="C30" s="8" t="inlineStr">
        <is>
          <t>Carlton Fields · 1098111</t>
        </is>
      </c>
      <c r="D30" s="8" t="inlineStr">
        <is>
          <t>1098111</t>
        </is>
      </c>
      <c r="E30" s="8" t="inlineStr">
        <is>
          <t>A</t>
        </is>
      </c>
      <c r="F30" s="9" t="n">
        <v>8902.709999999999</v>
      </c>
      <c r="G30" s="9" t="n">
        <v>8902.709999999999</v>
      </c>
      <c r="H30" s="8" t="inlineStr">
        <is>
          <t>2</t>
        </is>
      </c>
      <c r="I30" s="11" t="inlineStr">
        <is>
          <t>1-b</t>
        </is>
      </c>
      <c r="J30" s="8" t="inlineStr">
        <is>
          <t>Formulario cambiario Banco de Bogotá 18-jun-2019, Inversiones Carelmah SAS → Carlton Fields, US$150.000 ('ANEXO FACTURAS CONTRATO ENGAGEMENT LETTER CARLTON FIELDS') / Transferencia BofA 28-jul-2020, cuenta Carlos Mahecha Díaz / Anastasia Casas → Carlton Fields P.A. Trust Account, US$49.000 (varias facturas)</t>
        </is>
      </c>
      <c r="K30" s="8" t="inlineStr">
        <is>
          <t>Inversiones Carelmah SAS / Carlos Mahecha Díaz</t>
        </is>
      </c>
      <c r="L30" s="8" t="inlineStr">
        <is>
          <t>Pago global documentado (US$150.000 jun-2019 + US$49.000 jul-2020 = US$199.000) mayor que las facturas Carlton incluidas (US$168.360,31), pero Carlton facturó otros asuntos en el mismo período: falta estado de cuenta / trust ledger de Carlton que impute los pagos a estas facturas.</t>
        </is>
      </c>
    </row>
    <row r="31">
      <c r="A31" s="8" t="n">
        <v>84</v>
      </c>
      <c r="B31" s="8" t="inlineStr">
        <is>
          <t>2023-05-03</t>
        </is>
      </c>
      <c r="C31" s="8" t="inlineStr">
        <is>
          <t>Piñera-Vázquez · Trial Representation (pagado 15-may-2023)</t>
        </is>
      </c>
      <c r="D31" s="8" t="inlineStr">
        <is>
          <t>Trial Representation</t>
        </is>
      </c>
      <c r="E31" s="8" t="inlineStr">
        <is>
          <t>A</t>
        </is>
      </c>
      <c r="F31" s="9" t="n">
        <v>200000</v>
      </c>
      <c r="G31" s="9" t="n">
        <v>122997.5</v>
      </c>
      <c r="H31" s="8" t="inlineStr">
        <is>
          <t>1</t>
        </is>
      </c>
      <c r="I31" s="12" t="inlineStr">
        <is>
          <t>1</t>
        </is>
      </c>
      <c r="J31" s="8" t="inlineStr">
        <is>
          <t>SWIFT FT2313104266, 12-may-2023, Lenaine Ltd. → Silvia B. Piñera-Vásquez P.A., US$500.000 'FIANZA CARLOS MAHECHA' + estado de cuenta P/V 28-ago-2024 (pago 15-may-2023)</t>
        </is>
      </c>
      <c r="K31" s="8" t="inlineStr">
        <is>
          <t>Lenaine Ltd.</t>
        </is>
      </c>
      <c r="L31" s="8" t="inlineStr">
        <is>
          <t>Camilo confirma (14-oct): saldo de la fianza aplicado como abono a esta factura.</t>
        </is>
      </c>
    </row>
    <row r="32">
      <c r="A32" s="8" t="n">
        <v>96</v>
      </c>
      <c r="B32" s="8" t="inlineStr">
        <is>
          <t>2023-05-08</t>
        </is>
      </c>
      <c r="C32" s="8" t="inlineStr">
        <is>
          <t>The FairWay LLC (Rick Simpson) · #23-032</t>
        </is>
      </c>
      <c r="D32" s="8" t="inlineStr">
        <is>
          <t>#23-032</t>
        </is>
      </c>
      <c r="E32" s="8" t="inlineStr">
        <is>
          <t>A</t>
        </is>
      </c>
      <c r="F32" s="9" t="n">
        <v>15000</v>
      </c>
      <c r="G32" s="9" t="n">
        <v>15000</v>
      </c>
      <c r="H32" s="8" t="inlineStr">
        <is>
          <t>2</t>
        </is>
      </c>
      <c r="I32" s="12" t="inlineStr">
        <is>
          <t>1</t>
        </is>
      </c>
      <c r="J32" s="8" t="inlineStr">
        <is>
          <t>SWIFT FT2313065439, 10-may-2023, Trevanes → The FairWay LLC, US$15.000 ('MAHECHA APRIL PAYMENT FOR SERVICES PER AGREEMENT')</t>
        </is>
      </c>
      <c r="K32" s="8" t="inlineStr">
        <is>
          <t>Trevanes Company Ltd.</t>
        </is>
      </c>
      <c r="L32" s="8" t="inlineStr">
        <is>
          <t>El SWIFT no cita el número de factura; coincide en monto y fecha.</t>
        </is>
      </c>
    </row>
    <row r="33">
      <c r="A33" s="8" t="n">
        <v>101</v>
      </c>
      <c r="B33" s="8" t="inlineStr">
        <is>
          <t>2023-06-01</t>
        </is>
      </c>
      <c r="C33" s="8" t="inlineStr">
        <is>
          <t>The FairWay LLC (Rick Simpson) · #23-038</t>
        </is>
      </c>
      <c r="D33" s="8" t="inlineStr">
        <is>
          <t>#23-038</t>
        </is>
      </c>
      <c r="E33" s="8" t="inlineStr">
        <is>
          <t>A</t>
        </is>
      </c>
      <c r="F33" s="9" t="n">
        <v>15000</v>
      </c>
      <c r="G33" s="9" t="n">
        <v>15000</v>
      </c>
      <c r="H33" s="8" t="inlineStr">
        <is>
          <t>2</t>
        </is>
      </c>
      <c r="I33" s="10" t="inlineStr">
        <is>
          <t>2</t>
        </is>
      </c>
      <c r="J33" s="8" t="inlineStr">
        <is>
          <t>NINGUNO</t>
        </is>
      </c>
      <c r="K33" s="8" t="inlineStr"/>
      <c r="L33" s="8" t="inlineStr">
        <is>
          <t>Pedir SWIFT.</t>
        </is>
      </c>
    </row>
    <row r="34">
      <c r="A34" s="8" t="n">
        <v>106</v>
      </c>
      <c r="B34" s="8" t="inlineStr">
        <is>
          <t>2023-07-25</t>
        </is>
      </c>
      <c r="C34" s="8" t="inlineStr">
        <is>
          <t>The FairWay LLC (Rick Simpson) · #23-042</t>
        </is>
      </c>
      <c r="D34" s="8" t="inlineStr">
        <is>
          <t>#23-042</t>
        </is>
      </c>
      <c r="E34" s="8" t="inlineStr">
        <is>
          <t>A</t>
        </is>
      </c>
      <c r="F34" s="9" t="n">
        <v>15000</v>
      </c>
      <c r="G34" s="9" t="n">
        <v>15000</v>
      </c>
      <c r="H34" s="8" t="inlineStr">
        <is>
          <t>2</t>
        </is>
      </c>
      <c r="I34" s="12" t="inlineStr">
        <is>
          <t>1</t>
        </is>
      </c>
      <c r="J34" s="8" t="inlineStr">
        <is>
          <t>SWIFT FT2320793007, 26-jul-2023, Trevanes → The Fairway LLC, US$15.000 ('INVOICE 23-042')</t>
        </is>
      </c>
      <c r="K34" s="8" t="inlineStr">
        <is>
          <t>Trevanes Company Ltd.</t>
        </is>
      </c>
      <c r="L34" s="8" t="inlineStr"/>
    </row>
    <row r="35">
      <c r="A35" s="8" t="n">
        <v>128</v>
      </c>
      <c r="B35" s="8" t="inlineStr">
        <is>
          <t>2024-03-13</t>
        </is>
      </c>
      <c r="C35" s="8" t="inlineStr">
        <is>
          <t>The FairWay LLC (Rick Simpson) · #24-313</t>
        </is>
      </c>
      <c r="D35" s="8" t="inlineStr">
        <is>
          <t>#24-313</t>
        </is>
      </c>
      <c r="E35" s="8" t="inlineStr">
        <is>
          <t>A</t>
        </is>
      </c>
      <c r="F35" s="9" t="n">
        <v>20000</v>
      </c>
      <c r="G35" s="9" t="n">
        <v>20000</v>
      </c>
      <c r="H35" s="8" t="inlineStr">
        <is>
          <t>2</t>
        </is>
      </c>
      <c r="I35" s="12" t="inlineStr">
        <is>
          <t>1</t>
        </is>
      </c>
      <c r="J35" s="8" t="inlineStr">
        <is>
          <t>SWIFT FT2407929081, 19-mar-2024, Trevanes → The Fairway LLC, US$20.000 ('INVOICE 24-313//LEGAL FEES')</t>
        </is>
      </c>
      <c r="K35" s="8" t="inlineStr">
        <is>
          <t>Trevanes Company Ltd.</t>
        </is>
      </c>
      <c r="L35" s="8" t="inlineStr">
        <is>
          <t>Hubo un segundo giro de US$20.000 el 20-mar-2024 ('NOT DUPLICATED //INVOICE 24-313'): ver Pendiente P8.</t>
        </is>
      </c>
    </row>
    <row r="36">
      <c r="A36" s="8" t="n">
        <v>133</v>
      </c>
      <c r="B36" s="8" t="inlineStr">
        <is>
          <t>2024-04-30</t>
        </is>
      </c>
      <c r="C36" s="8" t="inlineStr">
        <is>
          <t>Salazar Law · 6384</t>
        </is>
      </c>
      <c r="D36" s="8" t="inlineStr">
        <is>
          <t>6384</t>
        </is>
      </c>
      <c r="E36" s="8" t="inlineStr">
        <is>
          <t>A</t>
        </is>
      </c>
      <c r="F36" s="9" t="n">
        <v>350000</v>
      </c>
      <c r="G36" s="9" t="n">
        <v>350000</v>
      </c>
      <c r="H36" s="8" t="inlineStr">
        <is>
          <t>2</t>
        </is>
      </c>
      <c r="I36" s="12" t="inlineStr">
        <is>
          <t>1</t>
        </is>
      </c>
      <c r="J36" s="8" t="inlineStr">
        <is>
          <t>SWIFT FT2412308573, 2-may-2024, Trevanes → Salazar Law LLP, US$350.000 ('FACTURA 6384')</t>
        </is>
      </c>
      <c r="K36" s="8" t="inlineStr">
        <is>
          <t>Trevanes Company Ltd.</t>
        </is>
      </c>
      <c r="L36" s="8" t="inlineStr">
        <is>
          <t>PAGO PROBADO. Naturaleza: factura 'Mahecha Defensa Matter', 'through trial'; Salazar fue abogado de récord en el caso penal (DE 85, 23-jul-2024) y llevó el juicio. Riesgo: el correo de abril-2024 menciona a Dillworth (Trustee) y fechas de juicio que no coinciden con el docket penal. Sigue pendiente la certificación escrita de Salazar.</t>
        </is>
      </c>
    </row>
    <row r="37">
      <c r="A37" s="8" t="n">
        <v>139</v>
      </c>
      <c r="B37" s="8" t="inlineStr">
        <is>
          <t>2024-08-01</t>
        </is>
      </c>
      <c r="C37" s="8" t="inlineStr">
        <is>
          <t>Cooper Strategic Solutions (vía P/V) · 1002 (traslado P/V)</t>
        </is>
      </c>
      <c r="D37" s="8" t="inlineStr">
        <is>
          <t>1002</t>
        </is>
      </c>
      <c r="E37" s="8" t="inlineStr">
        <is>
          <t>A</t>
        </is>
      </c>
      <c r="F37" s="9" t="n">
        <v>102525</v>
      </c>
      <c r="G37" s="9" t="n">
        <v>102525</v>
      </c>
      <c r="H37" s="8" t="inlineStr">
        <is>
          <t>2</t>
        </is>
      </c>
      <c r="I37" s="12" t="inlineStr">
        <is>
          <t>1</t>
        </is>
      </c>
      <c r="J37" s="8" t="inlineStr">
        <is>
          <t>SWIFT FT2424000354, 27-ago-2024, Lenaine Ltd. → Piñera-Vázquez Law Firm P.A., US$102.525 ('GASTOS CONTABLES') + wire Truist P/V → Cooper Strategic Solutions LLC, 28-ago-2024, US$102.525 ('Mahecha Forensic Accountant Expense') + correos de confirmación</t>
        </is>
      </c>
      <c r="K37" s="8" t="inlineStr">
        <is>
          <t>Lenaine Ltd. (vía trust de P/V)</t>
        </is>
      </c>
      <c r="L37" s="8" t="inlineStr">
        <is>
          <t>Cadena completa de pago. Sigue faltando la factura propia de Cooper por este primer pago.</t>
        </is>
      </c>
    </row>
    <row r="38">
      <c r="A38" s="8" t="n">
        <v>142</v>
      </c>
      <c r="B38" s="8" t="inlineStr">
        <is>
          <t>2024-09-20</t>
        </is>
      </c>
      <c r="C38" s="8" t="inlineStr">
        <is>
          <t>Cooper Strategic Solutions (vía P/V) · 1002</t>
        </is>
      </c>
      <c r="D38" s="8" t="inlineStr">
        <is>
          <t>1002</t>
        </is>
      </c>
      <c r="E38" s="8" t="inlineStr">
        <is>
          <t>A</t>
        </is>
      </c>
      <c r="F38" s="9" t="n">
        <v>60000</v>
      </c>
      <c r="G38" s="9" t="n">
        <v>60000</v>
      </c>
      <c r="H38" s="8" t="inlineStr">
        <is>
          <t>2</t>
        </is>
      </c>
      <c r="I38" s="11" t="inlineStr">
        <is>
          <t>1-b</t>
        </is>
      </c>
      <c r="J38" s="8" t="inlineStr">
        <is>
          <t>Correos 20/24-sep-2024: P/V confirma recibo del giro de US$60.000 y traslado a Cooper; Cooper confirma recibo. Falta el SWIFT de origen (el 2.º enlace del cuadro es el informe pericial de Cooper, no un pago)</t>
        </is>
      </c>
      <c r="K38" s="8" t="inlineStr">
        <is>
          <t>No identificado (fondos enviados por la familia)</t>
        </is>
      </c>
      <c r="L38" s="8" t="inlineStr">
        <is>
          <t>Pedir SWIFT del giro del 20-sep-2024 a P/V.</t>
        </is>
      </c>
    </row>
    <row r="39">
      <c r="A39" s="8" t="n">
        <v>144</v>
      </c>
      <c r="B39" s="8" t="inlineStr">
        <is>
          <t>2024-10-18</t>
        </is>
      </c>
      <c r="C39" s="8" t="inlineStr">
        <is>
          <t>The FairWay LLC (Rick Simpson) · 24-1015</t>
        </is>
      </c>
      <c r="D39" s="8" t="inlineStr">
        <is>
          <t>24-1015</t>
        </is>
      </c>
      <c r="E39" s="8" t="inlineStr">
        <is>
          <t>A</t>
        </is>
      </c>
      <c r="F39" s="9" t="n">
        <v>25000</v>
      </c>
      <c r="G39" s="9" t="n">
        <v>25000</v>
      </c>
      <c r="H39" s="8" t="inlineStr">
        <is>
          <t>2</t>
        </is>
      </c>
      <c r="I39" s="10" t="inlineStr">
        <is>
          <t>2</t>
        </is>
      </c>
      <c r="J39" s="8" t="inlineStr">
        <is>
          <t>Extracto BofA de CAMILO E. MAHECHA oct-nov 2024: transferencia de US$20.000 a TheFairway el 25-oct REVERSADA el 30-oct; retiro de US$25.000 el 31-oct sin beneficiario visible</t>
        </is>
      </c>
      <c r="K39" s="8" t="inlineStr">
        <is>
          <t>Camilo E. Mahecha (no el reclamante)</t>
        </is>
      </c>
      <c r="L39" s="8" t="inlineStr">
        <is>
          <t>No prueba el pago: falta copia del cheque de gerencia o recibo de The Fairway. Además, pagó el hijo: hay que documentar reembolso o tratarlo como aporte del reclamante.</t>
        </is>
      </c>
    </row>
    <row r="40">
      <c r="A40" s="8" t="n">
        <v>145</v>
      </c>
      <c r="B40" s="8" t="inlineStr">
        <is>
          <t>2024-10-31</t>
        </is>
      </c>
      <c r="C40" s="8" t="inlineStr">
        <is>
          <t>Cooper Strategic Solutions (vía P/V) · 1003 (porción pagada por wire)</t>
        </is>
      </c>
      <c r="D40" s="8" t="inlineStr">
        <is>
          <t>1003</t>
        </is>
      </c>
      <c r="E40" s="8" t="inlineStr">
        <is>
          <t>A</t>
        </is>
      </c>
      <c r="F40" s="9" t="n">
        <v>37475</v>
      </c>
      <c r="G40" s="9" t="n">
        <v>32475</v>
      </c>
      <c r="H40" s="8" t="inlineStr">
        <is>
          <t>2</t>
        </is>
      </c>
      <c r="I40" s="11" t="inlineStr">
        <is>
          <t>1-b</t>
        </is>
      </c>
      <c r="J40" s="8" t="inlineStr">
        <is>
          <t>Wire Truist P/V → Cooper, 9-dic-2024, US$32.475 ('Expert Fees Mahecha Case') + correo de P/V del 9-dic-2024</t>
        </is>
      </c>
      <c r="K40" s="8" t="inlineStr">
        <is>
          <t>Fondos en el trust de P/V (origen por documentar)</t>
        </is>
      </c>
      <c r="L40" s="8" t="inlineStr">
        <is>
          <t>Pedir el ledger del trust de P/V que muestre de dónde salieron los US$32.475.</t>
        </is>
      </c>
    </row>
    <row r="41">
      <c r="A41" s="8" t="n">
        <v>145</v>
      </c>
      <c r="B41" s="8" t="inlineStr">
        <is>
          <t>2024-10-31</t>
        </is>
      </c>
      <c r="C41" s="8" t="inlineStr">
        <is>
          <t>Cooper Strategic Solutions · 1003 (anticipo de US$5.000 acreditado)</t>
        </is>
      </c>
      <c r="D41" s="8" t="inlineStr">
        <is>
          <t>1003</t>
        </is>
      </c>
      <c r="E41" s="8" t="inlineStr">
        <is>
          <t>A</t>
        </is>
      </c>
      <c r="F41" s="9" t="n">
        <v>37475</v>
      </c>
      <c r="G41" s="9" t="n">
        <v>5000</v>
      </c>
      <c r="H41" s="8" t="inlineStr">
        <is>
          <t>2</t>
        </is>
      </c>
      <c r="I41" s="10" t="inlineStr">
        <is>
          <t>2</t>
        </is>
      </c>
      <c r="J41" s="8" t="inlineStr">
        <is>
          <t>Correo P/V 9-dic-2024: se acreditó el 'initial $5000.00 engagement deposit'</t>
        </is>
      </c>
      <c r="K41" s="8" t="inlineStr">
        <is>
          <t>No identificado</t>
        </is>
      </c>
      <c r="L41" s="8" t="inlineStr">
        <is>
          <t>Falta comprobante del pago del anticipo inicial de US$5.000 a Cooper.</t>
        </is>
      </c>
    </row>
    <row r="42">
      <c r="A42" s="8" t="n">
        <v>146</v>
      </c>
      <c r="B42" s="8" t="inlineStr">
        <is>
          <t>2024-11-08</t>
        </is>
      </c>
      <c r="C42" s="8" t="inlineStr">
        <is>
          <t>Alvarez &amp; Marsal Valuation Services · 859245 11-24</t>
        </is>
      </c>
      <c r="D42" s="8" t="inlineStr">
        <is>
          <t>859245 11-24</t>
        </is>
      </c>
      <c r="E42" s="8" t="inlineStr">
        <is>
          <t>A</t>
        </is>
      </c>
      <c r="F42" s="9" t="n">
        <v>15000</v>
      </c>
      <c r="G42" s="9" t="n">
        <v>15000</v>
      </c>
      <c r="H42" s="8" t="inlineStr">
        <is>
          <t>2</t>
        </is>
      </c>
      <c r="I42" s="10" t="inlineStr">
        <is>
          <t>2</t>
        </is>
      </c>
      <c r="J42" s="8" t="inlineStr">
        <is>
          <t>NINGUNO. Se recibió la carta de compromiso firmada (8/14-nov-2024, 'United States v. Mahecha', anticipo US$15.000)</t>
        </is>
      </c>
      <c r="K42" s="8" t="inlineStr"/>
      <c r="L42" s="8" t="inlineStr">
        <is>
          <t>La naturaleza penal queda probada; falta comprobante de pago del anticipo.</t>
        </is>
      </c>
    </row>
    <row r="43">
      <c r="A43" s="8" t="n">
        <v>147</v>
      </c>
      <c r="B43" s="8" t="inlineStr">
        <is>
          <t>2024-11-23</t>
        </is>
      </c>
      <c r="C43" s="8" t="inlineStr">
        <is>
          <t>The FairWay LLC (Rick Simpson) · 24-1123</t>
        </is>
      </c>
      <c r="D43" s="8" t="inlineStr">
        <is>
          <t>24-1123</t>
        </is>
      </c>
      <c r="E43" s="8" t="inlineStr">
        <is>
          <t>A</t>
        </is>
      </c>
      <c r="F43" s="9" t="n">
        <v>10260</v>
      </c>
      <c r="G43" s="9" t="n">
        <v>10260</v>
      </c>
      <c r="H43" s="8" t="inlineStr">
        <is>
          <t>2</t>
        </is>
      </c>
      <c r="I43" s="11" t="inlineStr">
        <is>
          <t>1-b</t>
        </is>
      </c>
      <c r="J43" s="8" t="inlineStr">
        <is>
          <t>Correo P/V 23-dic-2024: de la devolución de la fianza (US$324.555,08) se pagan US$10.260 a The Fairway</t>
        </is>
      </c>
      <c r="K43" s="8" t="inlineStr">
        <is>
          <t>Fondos de la fianza devuelta (Lenaine Ltd.)</t>
        </is>
      </c>
      <c r="L43" s="8" t="inlineStr">
        <is>
          <t>Falta confirmación del wire ejecutado por P/V (el 30-dic-2024 P/V aún esperaba la autorización escrita del Dr. Mahecha).</t>
        </is>
      </c>
    </row>
    <row r="44">
      <c r="A44" s="8" t="n">
        <v>148</v>
      </c>
      <c r="B44" s="8" t="inlineStr">
        <is>
          <t>2024-11-30</t>
        </is>
      </c>
      <c r="C44" s="8" t="inlineStr">
        <is>
          <t>Salazar Law · 6648 (solo partidas penales)</t>
        </is>
      </c>
      <c r="D44" s="8" t="inlineStr">
        <is>
          <t>6648</t>
        </is>
      </c>
      <c r="E44" s="8" t="inlineStr">
        <is>
          <t>C</t>
        </is>
      </c>
      <c r="F44" s="9" t="n">
        <v>21455</v>
      </c>
      <c r="G44" s="9" t="n">
        <v>4336.81</v>
      </c>
      <c r="H44" s="8" t="inlineStr">
        <is>
          <t>2</t>
        </is>
      </c>
      <c r="I44" s="10" t="inlineStr">
        <is>
          <t>2</t>
        </is>
      </c>
      <c r="J44" s="8" t="inlineStr">
        <is>
          <t>El soporte enlazado es un correo del 15-ene-2025 sobre la factura 6671 (US$52.542, 'cost matter'), no la 6648; y la distribución de la fianza (23-dic-2024) no incluye pago a Salazar</t>
        </is>
      </c>
      <c r="K44" s="8" t="inlineStr"/>
      <c r="L44" s="8" t="inlineStr">
        <is>
          <t>Soporte no corresponde. Pedir a Camilo el pago de la 6648.</t>
        </is>
      </c>
    </row>
    <row r="45">
      <c r="C45" s="7" t="inlineStr">
        <is>
          <t>TOTAL</t>
        </is>
      </c>
      <c r="G45" s="5">
        <f>SUM(G2:G44)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60" customWidth="1" min="4" max="4"/>
    <col width="60" customWidth="1" min="5" max="5"/>
    <col width="12" customWidth="1" min="6" max="6"/>
  </cols>
  <sheetData>
    <row r="1">
      <c r="A1" s="3" t="inlineStr">
        <is>
          <t>Ref.</t>
        </is>
      </c>
      <c r="B1" s="3" t="inlineStr">
        <is>
          <t>Partida posible</t>
        </is>
      </c>
      <c r="C1" s="3" t="inlineStr">
        <is>
          <t>USD</t>
        </is>
      </c>
      <c r="D1" s="3" t="inlineStr">
        <is>
          <t>Estado al 15-oct-2026</t>
        </is>
      </c>
      <c r="E1" s="3" t="inlineStr">
        <is>
          <t>Qué falta para incluirla</t>
        </is>
      </c>
      <c r="F1" s="3" t="inlineStr">
        <is>
          <t>Probabilidad</t>
        </is>
      </c>
    </row>
    <row r="2">
      <c r="A2" s="8" t="inlineStr">
        <is>
          <t>P1</t>
        </is>
      </c>
      <c r="B2" s="8" t="inlineStr">
        <is>
          <t>Piñera-Vázquez · saldo Trial Representation</t>
        </is>
      </c>
      <c r="C2" s="9" t="n">
        <v>77002.5</v>
      </c>
      <c r="D2" s="8" t="inlineStr">
        <is>
          <t>CON SOPORTE (1-b): estado de cuenta P/V 28-ago-2024 + correo P/V 23-dic-2024: de la fianza devuelta (US$324.555,08) se pagan US$85.009,38 a P/V</t>
        </is>
      </c>
      <c r="E2" s="8" t="inlineStr">
        <is>
          <t>Confirmación del wire/ledger de P/V. Explicar la diferencia de US$5.123,88 entre US$85.009,38 y P1+P2 (US$79.885,50)</t>
        </is>
      </c>
      <c r="F2" s="8" t="inlineStr">
        <is>
          <t>Alta</t>
        </is>
      </c>
    </row>
    <row r="3">
      <c r="A3" s="8" t="inlineStr">
        <is>
          <t>P2</t>
        </is>
      </c>
      <c r="B3" s="8" t="inlineStr">
        <is>
          <t>Piñera-Vázquez · LexisNexis sep-2023 a ago-2024</t>
        </is>
      </c>
      <c r="C3" s="9" t="n">
        <v>2883</v>
      </c>
      <c r="D3" s="8" t="inlineStr">
        <is>
          <t>CON SOPORTE (1-b): mismo estado de cuenta y misma distribución</t>
        </is>
      </c>
      <c r="E3" s="8" t="inlineStr">
        <is>
          <t>Igual que P1</t>
        </is>
      </c>
      <c r="F3" s="8" t="inlineStr">
        <is>
          <t>Alta</t>
        </is>
      </c>
    </row>
    <row r="4">
      <c r="A4" s="8" t="inlineStr">
        <is>
          <t>P3</t>
        </is>
      </c>
      <c r="B4" s="8" t="inlineStr">
        <is>
          <t>Costos del bail bond agent (bono corporativo CSB de US$500.000, DE 22)</t>
        </is>
      </c>
      <c r="C4" s="13" t="n">
        <v>77002.5</v>
      </c>
      <c r="D4" s="8" t="inlineStr">
        <is>
          <t>ESTIMADO: 500.000 − 300.000 (depósito 10 % al tribunal, DE 21) − 122.997,50 (honorario) = 77.002,50, según el relato de Camilo</t>
        </is>
      </c>
      <c r="E4" s="8" t="inlineStr">
        <is>
          <t>Contrato y recibos del bondsman. Ojo: la agencia puede restar los intereses recibidos con la devolución (US$24.555,08)</t>
        </is>
      </c>
      <c r="F4" s="8" t="inlineStr">
        <is>
          <t>Media-alta</t>
        </is>
      </c>
    </row>
    <row r="5">
      <c r="A5" s="8" t="inlineStr">
        <is>
          <t>P4</t>
        </is>
      </c>
      <c r="B5" s="8" t="inlineStr">
        <is>
          <t>Joseph M. Schuster, Esq., P.A. · 24-feb-2022</t>
        </is>
      </c>
      <c r="C5" s="9" t="n">
        <v>50000</v>
      </c>
      <c r="D5" s="8" t="inlineStr">
        <is>
          <t>Sin cambio (Camilo no lo abordó)</t>
        </is>
      </c>
      <c r="E5" s="8" t="inlineStr">
        <is>
          <t>Factura/engagement que pruebe trabajo en el caso 19-cr-20738</t>
        </is>
      </c>
      <c r="F5" s="8" t="inlineStr">
        <is>
          <t>Media</t>
        </is>
      </c>
    </row>
    <row r="6">
      <c r="A6" s="8" t="inlineStr">
        <is>
          <t>P5</t>
        </is>
      </c>
      <c r="B6" s="8" t="inlineStr">
        <is>
          <t>Hernandez de Luque Brothers LLC · 24-feb-2022</t>
        </is>
      </c>
      <c r="C6" s="9" t="n">
        <v>100000</v>
      </c>
      <c r="D6" s="8" t="inlineStr">
        <is>
          <t>Sin cambio</t>
        </is>
      </c>
      <c r="E6" s="8" t="inlineStr">
        <is>
          <t>Factura/engagement</t>
        </is>
      </c>
      <c r="F6" s="8" t="inlineStr">
        <is>
          <t>Baja</t>
        </is>
      </c>
    </row>
    <row r="7">
      <c r="A7" s="8" t="inlineStr">
        <is>
          <t>P6</t>
        </is>
      </c>
      <c r="B7" s="8" t="inlineStr">
        <is>
          <t>Retureta &amp; Wassem, PLLC · 24-feb-2022</t>
        </is>
      </c>
      <c r="C7" s="9" t="n">
        <v>5000</v>
      </c>
      <c r="D7" s="8" t="inlineStr">
        <is>
          <t>Sin cambio</t>
        </is>
      </c>
      <c r="E7" s="8" t="inlineStr">
        <is>
          <t>Factura/engagement</t>
        </is>
      </c>
      <c r="F7" s="8" t="inlineStr">
        <is>
          <t>Media</t>
        </is>
      </c>
    </row>
    <row r="8">
      <c r="A8" s="8" t="inlineStr">
        <is>
          <t>P7</t>
        </is>
      </c>
      <c r="B8" s="8" t="inlineStr">
        <is>
          <t>Everlaw (plataforma de discovery) en facturas de costos de Salazar</t>
        </is>
      </c>
      <c r="C8" s="9" t="n"/>
      <c r="D8" s="8" t="inlineStr">
        <is>
          <t>NUEVO (punto 5 de Camilo). Verificado: US$18.690/mes; facturas 6397 (abr-2024) y 6454 (jul y ago-2024) suman US$56.070 de Everlaw y tienen giro de Trevanes (US$39.564,05 el 17-jun-2024 y US$79.228,77 el 30-ago-2024). Las facturas 6420 y 6431 (may/jun-2024) no se han revisado</t>
        </is>
      </c>
      <c r="E8" s="8" t="inlineStr">
        <is>
          <t>Salazar escribió (1-abr-2024) que Everlaw almacenaba 'archivos de datos civiles y penales': solo entra la porción penal, con distribución certificada por Salazar. Revisar todas las facturas de costos con Everlaw</t>
        </is>
      </c>
      <c r="F8" s="8" t="inlineStr">
        <is>
          <t>Media</t>
        </is>
      </c>
    </row>
    <row r="9">
      <c r="A9" s="8" t="inlineStr">
        <is>
          <t>P8</t>
        </is>
      </c>
      <c r="B9" s="8" t="inlineStr">
        <is>
          <t>The Fairway LLC · 2.º giro de US$20.000 (20-mar-2024)</t>
        </is>
      </c>
      <c r="C9" s="9" t="n">
        <v>20000</v>
      </c>
      <c r="D9" s="8" t="inlineStr">
        <is>
          <t>NUEVO: SWIFT FT2408007298 ('NOT DUPLICATED //INVOICE 24-313'), sin factura propia</t>
        </is>
      </c>
      <c r="E9" s="8" t="inlineStr">
        <is>
          <t>Factura o estado de cuenta de The Fairway que explique este segundo pago</t>
        </is>
      </c>
      <c r="F9" s="8" t="inlineStr">
        <is>
          <t>Media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0" customWidth="1" min="1" max="1"/>
    <col width="16" customWidth="1" min="2" max="2"/>
    <col width="60" customWidth="1" min="3" max="3"/>
  </cols>
  <sheetData>
    <row r="1">
      <c r="A1" s="3" t="inlineStr">
        <is>
          <t>Concepto</t>
        </is>
      </c>
      <c r="B1" s="3" t="inlineStr">
        <is>
          <t>USD</t>
        </is>
      </c>
      <c r="C1" s="3" t="inlineStr">
        <is>
          <t>Fuente / nota</t>
        </is>
      </c>
    </row>
    <row r="2">
      <c r="A2" s="2" t="inlineStr">
        <is>
          <t>Giro Lenaine Ltd. → Silvia B. Piñera-Vásquez P.A. (SWIFT FT2313104266, 12-may-2023)</t>
        </is>
      </c>
      <c r="B2" s="14" t="n">
        <v>500000</v>
      </c>
      <c r="C2" s="2" t="inlineStr">
        <is>
          <t>SWIFT, concepto 'FIANZA CARLOS MAHECHA'</t>
        </is>
      </c>
    </row>
    <row r="3">
      <c r="A3" s="2" t="inlineStr">
        <is>
          <t>(−) Depósito del 10 % de la fianza de US$3.000.000 en el tribunal</t>
        </is>
      </c>
      <c r="B3" s="14" t="n">
        <v>-300000</v>
      </c>
      <c r="C3" s="2" t="inlineStr">
        <is>
          <t>Docket DE 21 (12-may-2023): '$3,000,000.00 10% PSB Bond'</t>
        </is>
      </c>
    </row>
    <row r="4">
      <c r="A4" s="2" t="inlineStr">
        <is>
          <t>(−) Costos del bail bond agent por el bono corporativo (CSB) de US$500.000</t>
        </is>
      </c>
      <c r="B4" s="14" t="n">
        <v>-77002.5</v>
      </c>
      <c r="C4" s="2" t="inlineStr">
        <is>
          <t>Docket DE 22 (17-may-2023). Monto deducido; falta recibo (P3)</t>
        </is>
      </c>
    </row>
    <row r="5">
      <c r="A5" s="2">
        <f> Saldo en el escrow de P/V aplicado al honorario Trial Representation (15-may-2023)</f>
        <v/>
      </c>
      <c r="B5" s="14" t="n">
        <v>122997.5</v>
      </c>
      <c r="C5" s="2" t="inlineStr">
        <is>
          <t>Estado de cuenta P/V; Camilo: 'USD 122.000 aplicados a la factura de USD 200.000'</t>
        </is>
      </c>
    </row>
    <row r="6">
      <c r="A6" s="2" t="inlineStr"/>
      <c r="C6" s="2" t="inlineStr"/>
    </row>
    <row r="7">
      <c r="A7" s="2" t="inlineStr">
        <is>
          <t>Devolución de la fianza por el tribunal (DE 138, 25-nov-2024): principal + intereses</t>
        </is>
      </c>
      <c r="B7" s="14" t="n">
        <v>324555.08</v>
      </c>
      <c r="C7" s="2" t="inlineStr">
        <is>
          <t>Correo P/V 23-dic-2024</t>
        </is>
      </c>
    </row>
    <row r="8">
      <c r="A8" s="2" t="inlineStr">
        <is>
          <t xml:space="preserve">  de los cuales intereses</t>
        </is>
      </c>
      <c r="B8" s="14" t="n">
        <v>24555.08</v>
      </c>
      <c r="C8" s="2" t="inlineStr">
        <is>
          <t>324.555,08 − 300.000</t>
        </is>
      </c>
    </row>
    <row r="9">
      <c r="A9" s="2" t="inlineStr">
        <is>
          <t xml:space="preserve">  → Piñera-Vázquez Law Firm (saldo honorario 77.002,50 + LexisNexis 2.883 + 5.123,88 sin explicar)</t>
        </is>
      </c>
      <c r="B9" s="14" t="n">
        <v>85009.38</v>
      </c>
      <c r="C9" s="2" t="inlineStr">
        <is>
          <t>P1 + P2</t>
        </is>
      </c>
    </row>
    <row r="10">
      <c r="A10" s="2" t="inlineStr">
        <is>
          <t xml:space="preserve">  → The Fairway LLC (factura 24-1123)</t>
        </is>
      </c>
      <c r="B10" s="14" t="n">
        <v>10260</v>
      </c>
      <c r="C10" s="2" t="inlineStr">
        <is>
          <t>Fila 147</t>
        </is>
      </c>
    </row>
    <row r="11">
      <c r="A11" s="2" t="inlineStr">
        <is>
          <t xml:space="preserve">  → Trevanes Company Ltd. (remanente devuelto)</t>
        </is>
      </c>
      <c r="B11" s="14" t="n">
        <v>229285.7</v>
      </c>
      <c r="C11" s="2" t="inlineStr">
        <is>
          <t>No es daño</t>
        </is>
      </c>
    </row>
    <row r="12">
      <c r="A12" s="2" t="inlineStr">
        <is>
          <t>Control (debe ser 0)</t>
        </is>
      </c>
      <c r="B12" s="14">
        <f>B7-B9-B10-B11</f>
        <v/>
      </c>
      <c r="C12" s="2" t="inlineStr"/>
    </row>
    <row r="15" ht="60" customHeight="1">
      <c r="A15" s="2" t="inlineStr">
        <is>
          <t>Por qué el saldo del honorario (77.002,50) y los costos del bondsman (77.002,50) coinciden: tras el depósito al tribunal quedaron US$200.000 en el escrow, que es exactamente el honorario de juicio. Lo que no se aplicó al honorario (77.002,50) es lo que se fue al bondsman, y por eso el saldo pendiente del honorario es la misma cifra. No es casualidad: es aritmética.</t>
        </is>
      </c>
    </row>
  </sheetData>
  <mergeCells count="1"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0" customWidth="1" min="2" max="2"/>
    <col width="11" customWidth="1" min="3" max="3"/>
    <col width="30" customWidth="1" min="4" max="4"/>
    <col width="30" customWidth="1" min="5" max="5"/>
    <col width="14" customWidth="1" min="6" max="6"/>
    <col width="40" customWidth="1" min="7" max="7"/>
    <col width="34" customWidth="1" min="8" max="8"/>
    <col width="50" customWidth="1" min="9" max="9"/>
  </cols>
  <sheetData>
    <row r="1">
      <c r="A1" s="3" t="inlineStr">
        <is>
          <t>Archivo (Drive de Camilo)</t>
        </is>
      </c>
      <c r="B1" s="3" t="inlineStr">
        <is>
          <t>Qué es</t>
        </is>
      </c>
      <c r="C1" s="3" t="inlineStr">
        <is>
          <t>Fecha</t>
        </is>
      </c>
      <c r="D1" s="3" t="inlineStr">
        <is>
          <t>Ordenante / pagador</t>
        </is>
      </c>
      <c r="E1" s="3" t="inlineStr">
        <is>
          <t>Beneficiario</t>
        </is>
      </c>
      <c r="F1" s="3" t="inlineStr">
        <is>
          <t>USD</t>
        </is>
      </c>
      <c r="G1" s="3" t="inlineStr">
        <is>
          <t>Referencia</t>
        </is>
      </c>
      <c r="H1" s="3" t="inlineStr">
        <is>
          <t>Partida</t>
        </is>
      </c>
      <c r="I1" s="3" t="inlineStr">
        <is>
          <t>Enlace</t>
        </is>
      </c>
    </row>
    <row r="2">
      <c r="A2" s="8" t="inlineStr">
        <is>
          <t>0632_190618102221_001.pdf</t>
        </is>
      </c>
      <c r="B2" s="8" t="inlineStr">
        <is>
          <t>Formulario cambiario Banco de Bogotá</t>
        </is>
      </c>
      <c r="C2" s="8" t="inlineStr">
        <is>
          <t>2019-06-18</t>
        </is>
      </c>
      <c r="D2" s="8" t="inlineStr">
        <is>
          <t>Inversiones Carelmah SAS (NIT 900097030-2)</t>
        </is>
      </c>
      <c r="E2" s="8" t="inlineStr">
        <is>
          <t>Carlton Fields</t>
        </is>
      </c>
      <c r="F2" s="9" t="n">
        <v>150000</v>
      </c>
      <c r="G2" s="8" t="inlineStr">
        <is>
          <t>Anexo facturas contrato engagement letter Carlton Fields</t>
        </is>
      </c>
      <c r="H2" s="8" t="inlineStr">
        <is>
          <t>Carlton 2019 (B) — Camilo lo enlazó también a K&amp;L 3556337</t>
        </is>
      </c>
      <c r="I2" s="15" t="inlineStr">
        <is>
          <t>https://drive.google.com/file/d/1TGYKIkPjjpgF9j8ebVLzl6E0JiECemxF/view</t>
        </is>
      </c>
    </row>
    <row r="3">
      <c r="A3" s="8" t="inlineStr">
        <is>
          <t>Tranfer July 2020 - Carlton Fields 49K.pdf</t>
        </is>
      </c>
      <c r="B3" s="8" t="inlineStr">
        <is>
          <t>Transferencia BofA (ACH)</t>
        </is>
      </c>
      <c r="C3" s="8" t="inlineStr">
        <is>
          <t>2020-07-28</t>
        </is>
      </c>
      <c r="D3" s="8" t="inlineStr">
        <is>
          <t>Carlos Mahecha Díaz / Anastasia Casas Matiz (cta. 5930)</t>
        </is>
      </c>
      <c r="E3" s="8" t="inlineStr">
        <is>
          <t>Carlton Fields P.A. Trust Account</t>
        </is>
      </c>
      <c r="F3" s="9" t="n">
        <v>49000</v>
      </c>
      <c r="G3" s="8" t="inlineStr">
        <is>
          <t>Conf. 305988952</t>
        </is>
      </c>
      <c r="H3" s="8" t="inlineStr">
        <is>
          <t>Carlton 2020 (A), varias facturas</t>
        </is>
      </c>
      <c r="I3" s="15" t="inlineStr">
        <is>
          <t>https://drive.google.com/file/d/1v2I-j7IF6CrJrtXqe8T_JZk0Z0tn6k6H/view</t>
        </is>
      </c>
    </row>
    <row r="4">
      <c r="A4" s="8" t="inlineStr">
        <is>
          <t>(enlace P/V mar-2021)</t>
        </is>
      </c>
      <c r="B4" s="8" t="inlineStr">
        <is>
          <t>NO ACCESIBLE</t>
        </is>
      </c>
      <c r="C4" s="8" t="inlineStr"/>
      <c r="D4" s="8" t="inlineStr"/>
      <c r="E4" s="8" t="inlineStr"/>
      <c r="F4" s="9" t="n"/>
      <c r="G4" s="8" t="inlineStr"/>
      <c r="H4" s="8" t="inlineStr">
        <is>
          <t>P/V invoice mar-2021</t>
        </is>
      </c>
      <c r="I4" s="15" t="inlineStr">
        <is>
          <t>https://drive.google.com/file/d/1FtrVeKstxeQ8Afa6FynBNm4PFF-vIXM_/view</t>
        </is>
      </c>
    </row>
    <row r="5">
      <c r="A5" s="8" t="inlineStr">
        <is>
          <t>25-FT2126570008.pdf</t>
        </is>
      </c>
      <c r="B5" s="8" t="inlineStr">
        <is>
          <t>SWIFT MT103</t>
        </is>
      </c>
      <c r="C5" s="8" t="inlineStr">
        <is>
          <t>2021-09-22</t>
        </is>
      </c>
      <c r="D5" s="8" t="inlineStr">
        <is>
          <t>Trevanes Company Ltd.</t>
        </is>
      </c>
      <c r="E5" s="8" t="inlineStr">
        <is>
          <t>Carlton Fields P.A. General Account</t>
        </is>
      </c>
      <c r="F5" s="9" t="n">
        <v>194307</v>
      </c>
      <c r="G5" s="8" t="inlineStr">
        <is>
          <t>INVOICE 1122306</t>
        </is>
      </c>
      <c r="H5" s="8" t="inlineStr">
        <is>
          <t>Carlton 2021, asunto 15451-46088 (EXCLUIDO del reclamo)</t>
        </is>
      </c>
      <c r="I5" s="15" t="inlineStr">
        <is>
          <t>https://drive.google.com/file/d/1mKx7K734bAGNbLhfZ1Fxm1Rk8GrhU8rm/view</t>
        </is>
      </c>
    </row>
    <row r="6">
      <c r="A6" s="8" t="inlineStr">
        <is>
          <t>Carltopn Fields - FW_ Mahecha Invoices PAYMENT.pdf</t>
        </is>
      </c>
      <c r="B6" s="8" t="inlineStr">
        <is>
          <t>Correo de Lee Stapleton (Carlton) enviando 6 facturas 15451-46088</t>
        </is>
      </c>
      <c r="C6" s="8" t="inlineStr">
        <is>
          <t>2021-09-20</t>
        </is>
      </c>
      <c r="D6" s="8" t="inlineStr"/>
      <c r="E6" s="8" t="inlineStr"/>
      <c r="F6" s="9" t="n"/>
      <c r="G6" s="8" t="inlineStr"/>
      <c r="H6" s="8" t="inlineStr">
        <is>
          <t>Asunto excluido</t>
        </is>
      </c>
      <c r="I6" s="15" t="inlineStr">
        <is>
          <t>https://drive.google.com/file/d/1C60wmlVhSUgJ9cfc4FYvPA6BtSFE2OIW/view</t>
        </is>
      </c>
    </row>
    <row r="7">
      <c r="A7" s="8" t="inlineStr">
        <is>
          <t>August Mahecha Statement of Fees and Expenses (2).pdf</t>
        </is>
      </c>
      <c r="B7" s="8" t="inlineStr">
        <is>
          <t>Estado de cuenta P/V</t>
        </is>
      </c>
      <c r="C7" s="8" t="inlineStr">
        <is>
          <t>2024-08-28</t>
        </is>
      </c>
      <c r="D7" s="8" t="inlineStr"/>
      <c r="E7" s="8" t="inlineStr"/>
      <c r="F7" s="9" t="n">
        <v>79885.5</v>
      </c>
      <c r="G7" s="8" t="inlineStr">
        <is>
          <t>Trial fee 200.000; pago 122.997,50 (15-may-2023); saldo 77.002,50; LexisNexis 2.883</t>
        </is>
      </c>
      <c r="H7" s="8" t="inlineStr">
        <is>
          <t>Fila 84; P1; P2</t>
        </is>
      </c>
      <c r="I7" s="15" t="inlineStr">
        <is>
          <t>https://drive.google.com/file/d/1q1qpNCVhrwIUm6CUro00oUJf9VdB0Ekj/view</t>
        </is>
      </c>
    </row>
    <row r="8">
      <c r="A8" s="8" t="inlineStr">
        <is>
          <t>CORREO SILVIA ESCROW FUNDS ...pdf</t>
        </is>
      </c>
      <c r="B8" s="8" t="inlineStr">
        <is>
          <t>Correo P/V sobre devolución de la fianza</t>
        </is>
      </c>
      <c r="C8" s="8" t="inlineStr">
        <is>
          <t>2024-12-23</t>
        </is>
      </c>
      <c r="D8" s="8" t="inlineStr">
        <is>
          <t>Escrow P/V</t>
        </is>
      </c>
      <c r="E8" s="8" t="inlineStr">
        <is>
          <t>P/V 85.009,38; The Fairway 10.260; Trevanes 229.285,70</t>
        </is>
      </c>
      <c r="F8" s="9" t="n">
        <v>324555.08</v>
      </c>
      <c r="G8" s="8" t="inlineStr"/>
      <c r="H8" s="8" t="inlineStr">
        <is>
          <t>P1; P2; fila 147. Camilo lo enlazó también a la fila de The Fairway 24-1123</t>
        </is>
      </c>
      <c r="I8" s="15" t="inlineStr">
        <is>
          <t>https://drive.google.com/file/d/1uT0Ov8nxZQLjT_F79p_mkOhnBxDykbo0/view</t>
        </is>
      </c>
    </row>
    <row r="9">
      <c r="A9" s="8" t="inlineStr">
        <is>
          <t>52988153 - COPIA SWIFT - FT2313065439.pdf</t>
        </is>
      </c>
      <c r="B9" s="8" t="inlineStr">
        <is>
          <t>SWIFT MT103</t>
        </is>
      </c>
      <c r="C9" s="8" t="inlineStr">
        <is>
          <t>2023-05-10</t>
        </is>
      </c>
      <c r="D9" s="8" t="inlineStr">
        <is>
          <t>Trevanes Company Ltd.</t>
        </is>
      </c>
      <c r="E9" s="8" t="inlineStr">
        <is>
          <t>The Fairway LLC</t>
        </is>
      </c>
      <c r="F9" s="9" t="n">
        <v>15000</v>
      </c>
      <c r="G9" s="8" t="inlineStr">
        <is>
          <t>MAHECHA APRIL PAYMENT FOR SERVICES PER AGREEMENT</t>
        </is>
      </c>
      <c r="H9" s="8" t="inlineStr">
        <is>
          <t>Fila 96 (#23-032)</t>
        </is>
      </c>
      <c r="I9" s="15" t="inlineStr">
        <is>
          <t>https://drive.google.com/file/d/1SAThxrD_rmUgTBe5RvgcwrD0ML8lcgu_/view</t>
        </is>
      </c>
    </row>
    <row r="10">
      <c r="A10" s="8" t="inlineStr">
        <is>
          <t>50781311 - COPIA SWIFT - FT2313104266 (1).pdf</t>
        </is>
      </c>
      <c r="B10" s="8" t="inlineStr">
        <is>
          <t>SWIFT MT103</t>
        </is>
      </c>
      <c r="C10" s="8" t="inlineStr">
        <is>
          <t>2023-05-12</t>
        </is>
      </c>
      <c r="D10" s="8" t="inlineStr">
        <is>
          <t>Lenaine Ltd.</t>
        </is>
      </c>
      <c r="E10" s="8" t="inlineStr">
        <is>
          <t>Silvia B. Piñera-Vásquez P.A.</t>
        </is>
      </c>
      <c r="F10" s="9" t="n">
        <v>500000</v>
      </c>
      <c r="G10" s="8" t="inlineStr">
        <is>
          <t>FIANZA CARLOS MAHECHA</t>
        </is>
      </c>
      <c r="H10" s="8" t="inlineStr">
        <is>
          <t>Fila 84; reconciliación fianza</t>
        </is>
      </c>
      <c r="I10" s="15" t="inlineStr">
        <is>
          <t>https://drive.google.com/file/d/1YklEUBL5eDslss7ae65NByT9L-aoHzi-/view</t>
        </is>
      </c>
    </row>
    <row r="11">
      <c r="A11" s="8" t="inlineStr">
        <is>
          <t>52988154 - COPIA SWIFT - FT2320793007.pdf</t>
        </is>
      </c>
      <c r="B11" s="8" t="inlineStr">
        <is>
          <t>SWIFT MT103</t>
        </is>
      </c>
      <c r="C11" s="8" t="inlineStr">
        <is>
          <t>2023-07-26</t>
        </is>
      </c>
      <c r="D11" s="8" t="inlineStr">
        <is>
          <t>Trevanes Company Ltd.</t>
        </is>
      </c>
      <c r="E11" s="8" t="inlineStr">
        <is>
          <t>The Fairway LLC</t>
        </is>
      </c>
      <c r="F11" s="9" t="n">
        <v>15000</v>
      </c>
      <c r="G11" s="8" t="inlineStr">
        <is>
          <t>INVOICE 23-042</t>
        </is>
      </c>
      <c r="H11" s="8" t="inlineStr">
        <is>
          <t>Fila 106</t>
        </is>
      </c>
      <c r="I11" s="15" t="inlineStr">
        <is>
          <t>https://drive.google.com/file/d/1fUqZxcH2aBL6EGL_3At5fgcr6F5frNlG/view</t>
        </is>
      </c>
    </row>
    <row r="12">
      <c r="A12" s="8" t="inlineStr">
        <is>
          <t>52988156 - COPIA SWIFT - FT2407929081.pdf</t>
        </is>
      </c>
      <c r="B12" s="8" t="inlineStr">
        <is>
          <t>SWIFT MT103</t>
        </is>
      </c>
      <c r="C12" s="8" t="inlineStr">
        <is>
          <t>2024-03-19</t>
        </is>
      </c>
      <c r="D12" s="8" t="inlineStr">
        <is>
          <t>Trevanes Company Ltd.</t>
        </is>
      </c>
      <c r="E12" s="8" t="inlineStr">
        <is>
          <t>The Fairway LLC</t>
        </is>
      </c>
      <c r="F12" s="9" t="n">
        <v>20000</v>
      </c>
      <c r="G12" s="8" t="inlineStr">
        <is>
          <t>INVOICE 24-313//LEGAL FEES</t>
        </is>
      </c>
      <c r="H12" s="8" t="inlineStr">
        <is>
          <t>Fila 128</t>
        </is>
      </c>
      <c r="I12" s="15" t="inlineStr">
        <is>
          <t>https://drive.google.com/file/d/1N2YN4etwMxBvAA30V1uOpCQoSXzizHWL/view</t>
        </is>
      </c>
    </row>
    <row r="13">
      <c r="A13" s="8" t="inlineStr">
        <is>
          <t>(2.º enlace fila 24-313)</t>
        </is>
      </c>
      <c r="B13" s="8" t="inlineStr">
        <is>
          <t>NO ACCESIBLE</t>
        </is>
      </c>
      <c r="C13" s="8" t="inlineStr"/>
      <c r="D13" s="8" t="inlineStr"/>
      <c r="E13" s="8" t="inlineStr"/>
      <c r="F13" s="9" t="n"/>
      <c r="G13" s="8" t="inlineStr"/>
      <c r="H13" s="8" t="inlineStr">
        <is>
          <t>Fila 128</t>
        </is>
      </c>
      <c r="I13" s="15" t="inlineStr">
        <is>
          <t>https://drive.google.com/file/d/1OV1PMFCxsi-ctLugsniekFXZYOhKiN4R/view</t>
        </is>
      </c>
    </row>
    <row r="14">
      <c r="A14" s="8" t="inlineStr">
        <is>
          <t>45-FT2408007298.pdf</t>
        </is>
      </c>
      <c r="B14" s="8" t="inlineStr">
        <is>
          <t>SWIFT MT103</t>
        </is>
      </c>
      <c r="C14" s="8" t="inlineStr">
        <is>
          <t>2024-03-20</t>
        </is>
      </c>
      <c r="D14" s="8" t="inlineStr">
        <is>
          <t>Trevanes Company Ltd.</t>
        </is>
      </c>
      <c r="E14" s="8" t="inlineStr">
        <is>
          <t>The Fairway LLC</t>
        </is>
      </c>
      <c r="F14" s="9" t="n">
        <v>20000</v>
      </c>
      <c r="G14" s="8" t="inlineStr">
        <is>
          <t>NOT DUPLICATED //INVOICE 24-313//LEGAL FEES</t>
        </is>
      </c>
      <c r="H14" s="8" t="inlineStr">
        <is>
          <t>P8</t>
        </is>
      </c>
      <c r="I14" s="15" t="inlineStr">
        <is>
          <t>https://drive.google.com/file/d/15_mCGsWRD5JHfi9eHCNyqVzBGjnmteX5/view</t>
        </is>
      </c>
    </row>
    <row r="15">
      <c r="A15" s="8" t="inlineStr">
        <is>
          <t>52988157 - COPIA SWIFT - FT2412308573.pdf</t>
        </is>
      </c>
      <c r="B15" s="8" t="inlineStr">
        <is>
          <t>SWIFT MT103</t>
        </is>
      </c>
      <c r="C15" s="8" t="inlineStr">
        <is>
          <t>2024-05-02</t>
        </is>
      </c>
      <c r="D15" s="8" t="inlineStr">
        <is>
          <t>Trevanes Company Ltd.</t>
        </is>
      </c>
      <c r="E15" s="8" t="inlineStr">
        <is>
          <t>Salazar Law LLP</t>
        </is>
      </c>
      <c r="F15" s="9" t="n">
        <v>350000</v>
      </c>
      <c r="G15" s="8" t="inlineStr">
        <is>
          <t>FACTURA 6384</t>
        </is>
      </c>
      <c r="H15" s="8" t="inlineStr">
        <is>
          <t>Fila 133</t>
        </is>
      </c>
      <c r="I15" s="15" t="inlineStr">
        <is>
          <t>https://drive.google.com/file/d/1Penp3gTMqtJQuglKXbC9eZIw_LKC-xoP/view</t>
        </is>
      </c>
    </row>
    <row r="16">
      <c r="A16" s="8" t="inlineStr">
        <is>
          <t>Correo Luis Salazar 350.000.pdf</t>
        </is>
      </c>
      <c r="B16" s="8" t="inlineStr">
        <is>
          <t>Correos Salazar–Camilo 27-mar a 3-abr-2024: acuerdo de US$350.000 'hasta el final del juicio'; Everlaw aparte</t>
        </is>
      </c>
      <c r="C16" s="8" t="inlineStr">
        <is>
          <t>2024-04-03</t>
        </is>
      </c>
      <c r="D16" s="8" t="inlineStr"/>
      <c r="E16" s="8" t="inlineStr"/>
      <c r="F16" s="9" t="n"/>
      <c r="G16" s="8" t="inlineStr"/>
      <c r="H16" s="8" t="inlineStr">
        <is>
          <t>Fila 133; P7</t>
        </is>
      </c>
      <c r="I16" s="15" t="inlineStr">
        <is>
          <t>https://drive.google.com/file/d/1IYse4pGGf8Q_H62baF4iSBmoU4zTqq9D/view</t>
        </is>
      </c>
    </row>
    <row r="17">
      <c r="A17" s="8" t="inlineStr">
        <is>
          <t>Salazar Payment Pacer,Everlaw.png</t>
        </is>
      </c>
      <c r="B17" s="8" t="inlineStr">
        <is>
          <t>Débito MMG Bank</t>
        </is>
      </c>
      <c r="C17" s="8" t="inlineStr">
        <is>
          <t>2024-06-17</t>
        </is>
      </c>
      <c r="D17" s="8" t="inlineStr">
        <is>
          <t>Trevanes Company Ltd.</t>
        </is>
      </c>
      <c r="E17" s="8" t="inlineStr">
        <is>
          <t>Salazar Law LLP</t>
        </is>
      </c>
      <c r="F17" s="9" t="n">
        <v>39564.05</v>
      </c>
      <c r="G17" s="8" t="inlineStr">
        <is>
          <t>FACTURA 6397</t>
        </is>
      </c>
      <c r="H17" s="8" t="inlineStr">
        <is>
          <t>P7 (Everlaw abr-2024)</t>
        </is>
      </c>
      <c r="I17" s="15" t="inlineStr">
        <is>
          <t>https://drive.google.com/file/d/1VOUjA1kbqAnXh0-L-OOcPp-YkWxQp13M/view</t>
        </is>
      </c>
    </row>
    <row r="18">
      <c r="A18" s="8" t="inlineStr">
        <is>
          <t>Mahecha Familia-Cost Invoice 6397 ...pdf</t>
        </is>
      </c>
      <c r="B18" s="8" t="inlineStr">
        <is>
          <t>Factura de costos Salazar</t>
        </is>
      </c>
      <c r="C18" s="8" t="inlineStr">
        <is>
          <t>2024-05-10</t>
        </is>
      </c>
      <c r="D18" s="8" t="inlineStr"/>
      <c r="E18" s="8" t="inlineStr"/>
      <c r="F18" s="9" t="n">
        <v>19217.11</v>
      </c>
      <c r="G18" s="8" t="inlineStr">
        <is>
          <t>Everlaw abr-2024 18.690 + PACER/Westlaw</t>
        </is>
      </c>
      <c r="H18" s="8" t="inlineStr">
        <is>
          <t>P7</t>
        </is>
      </c>
      <c r="I18" s="15" t="inlineStr">
        <is>
          <t>https://drive.google.com/file/d/1EPyaILL3EaHFrAcLOtxDsHF2SLLfldNT/view</t>
        </is>
      </c>
    </row>
    <row r="19">
      <c r="A19" s="8" t="inlineStr">
        <is>
          <t>Salazar 6454.png</t>
        </is>
      </c>
      <c r="B19" s="8" t="inlineStr">
        <is>
          <t>Débito MMG Bank</t>
        </is>
      </c>
      <c r="C19" s="8" t="inlineStr">
        <is>
          <t>2024-08-30</t>
        </is>
      </c>
      <c r="D19" s="8" t="inlineStr">
        <is>
          <t>Trevanes Company Ltd.</t>
        </is>
      </c>
      <c r="E19" s="8" t="inlineStr">
        <is>
          <t>Salazar Law LLP</t>
        </is>
      </c>
      <c r="F19" s="9" t="n">
        <v>79228.77</v>
      </c>
      <c r="G19" s="8" t="inlineStr">
        <is>
          <t>FACTURA 6397 (sic) — monto = total adeudado factura 6454</t>
        </is>
      </c>
      <c r="H19" s="8" t="inlineStr">
        <is>
          <t>P7 (Everlaw jul/ago-2024)</t>
        </is>
      </c>
      <c r="I19" s="15" t="inlineStr">
        <is>
          <t>https://drive.google.com/file/d/1yqDOou7MHwE3FUXycU78De-lPsKt6a9i/view</t>
        </is>
      </c>
    </row>
    <row r="20">
      <c r="A20" s="8" t="inlineStr">
        <is>
          <t>Mahecha Familia-Cost Invoice 6454 ...pdf</t>
        </is>
      </c>
      <c r="B20" s="8" t="inlineStr">
        <is>
          <t>Factura de costos Salazar</t>
        </is>
      </c>
      <c r="C20" s="8" t="inlineStr">
        <is>
          <t>2024-08-15</t>
        </is>
      </c>
      <c r="D20" s="8" t="inlineStr"/>
      <c r="E20" s="8" t="inlineStr"/>
      <c r="F20" s="9" t="n">
        <v>37508.24</v>
      </c>
      <c r="G20" s="8" t="inlineStr">
        <is>
          <t>Everlaw jul+ago-2024 37.380; saldo anterior 41.720,53</t>
        </is>
      </c>
      <c r="H20" s="8" t="inlineStr">
        <is>
          <t>P7</t>
        </is>
      </c>
      <c r="I20" s="15" t="inlineStr">
        <is>
          <t>https://drive.google.com/file/d/1xwVHq6x3VXPmI2PaJr20YM-xN86YNn05/view</t>
        </is>
      </c>
    </row>
    <row r="21">
      <c r="A21" s="8" t="inlineStr">
        <is>
          <t>52988149 - COPIA SWIFT - FT2424000354.pdf</t>
        </is>
      </c>
      <c r="B21" s="8" t="inlineStr">
        <is>
          <t>SWIFT MT103</t>
        </is>
      </c>
      <c r="C21" s="8" t="inlineStr">
        <is>
          <t>2024-08-27</t>
        </is>
      </c>
      <c r="D21" s="8" t="inlineStr">
        <is>
          <t>Lenaine Ltd.</t>
        </is>
      </c>
      <c r="E21" s="8" t="inlineStr">
        <is>
          <t>Piñera-Vazquez Law Firm P.A. (trust)</t>
        </is>
      </c>
      <c r="F21" s="9" t="n">
        <v>102525</v>
      </c>
      <c r="G21" s="8" t="inlineStr">
        <is>
          <t>GASTOS CONTABLES</t>
        </is>
      </c>
      <c r="H21" s="8" t="inlineStr">
        <is>
          <t>Fila 139</t>
        </is>
      </c>
      <c r="I21" s="15" t="inlineStr">
        <is>
          <t>https://drive.google.com/file/d/1YNU5SVusj6ndAFBr8zYaEOWJHFCOamOh/view</t>
        </is>
      </c>
    </row>
    <row r="22">
      <c r="A22" s="8" t="inlineStr">
        <is>
          <t>Cooper Wire Payment 102K.pdf</t>
        </is>
      </c>
      <c r="B22" s="8" t="inlineStr">
        <is>
          <t>Wire Truist (trust P/V)</t>
        </is>
      </c>
      <c r="C22" s="8" t="inlineStr">
        <is>
          <t>2024-08-28</t>
        </is>
      </c>
      <c r="D22" s="8" t="inlineStr">
        <is>
          <t>P/V Law Firm (cta. 2277)</t>
        </is>
      </c>
      <c r="E22" s="8" t="inlineStr">
        <is>
          <t>Cooper Strategic Solutions LLC</t>
        </is>
      </c>
      <c r="F22" s="9" t="n">
        <v>102525</v>
      </c>
      <c r="G22" s="8" t="inlineStr">
        <is>
          <t>Mahecha Forensic Accountant Expense</t>
        </is>
      </c>
      <c r="H22" s="8" t="inlineStr">
        <is>
          <t>Fila 139</t>
        </is>
      </c>
      <c r="I22" s="15" t="inlineStr">
        <is>
          <t>https://drive.google.com/file/d/1Woy6T-hOMiUeoyW5cw4vekoai2_evJvv/view</t>
        </is>
      </c>
    </row>
    <row r="23">
      <c r="A23" s="8" t="inlineStr">
        <is>
          <t>PAYAMEN TANYA COOPER STARTEGIC 102 K MAIL.pdf</t>
        </is>
      </c>
      <c r="B23" s="8" t="inlineStr">
        <is>
          <t>Correos Cooper / P/V / Camilo 26-28 ago-2024</t>
        </is>
      </c>
      <c r="C23" s="8" t="inlineStr">
        <is>
          <t>2024-08-28</t>
        </is>
      </c>
      <c r="D23" s="8" t="inlineStr"/>
      <c r="E23" s="8" t="inlineStr"/>
      <c r="F23" s="9" t="n"/>
      <c r="G23" s="8" t="inlineStr">
        <is>
          <t>Cooper confirma recibo</t>
        </is>
      </c>
      <c r="H23" s="8" t="inlineStr">
        <is>
          <t>Fila 139</t>
        </is>
      </c>
      <c r="I23" s="15" t="inlineStr">
        <is>
          <t>https://drive.google.com/file/d/13vnFTokPyo7bpzD8oH6aWRZz5CwjTG8e/view</t>
        </is>
      </c>
    </row>
    <row r="24">
      <c r="A24" s="8" t="inlineStr">
        <is>
          <t>Cooper Strategic 60 K Mail.pdf</t>
        </is>
      </c>
      <c r="B24" s="8" t="inlineStr">
        <is>
          <t>Correos 20-24 sep-2024; tabla de pagos Cooper: 102.525 + 60.000 + 37.475 = 200.000</t>
        </is>
      </c>
      <c r="C24" s="8" t="inlineStr">
        <is>
          <t>2024-09-24</t>
        </is>
      </c>
      <c r="D24" s="8" t="inlineStr"/>
      <c r="E24" s="8" t="inlineStr"/>
      <c r="F24" s="9" t="n">
        <v>60000</v>
      </c>
      <c r="G24" s="8" t="inlineStr">
        <is>
          <t>P/V recibe y traslada; Cooper confirma</t>
        </is>
      </c>
      <c r="H24" s="8" t="inlineStr">
        <is>
          <t>Fila 142</t>
        </is>
      </c>
      <c r="I24" s="15" t="inlineStr">
        <is>
          <t>https://drive.google.com/file/d/1SfFbT1kysA1DuA4OAldYtxT-hmyyDjc1/view</t>
        </is>
      </c>
    </row>
    <row r="25">
      <c r="A25" s="8" t="inlineStr">
        <is>
          <t>Expert Forensic Accounting Witness Report (2).pdf</t>
        </is>
      </c>
      <c r="B25" s="8" t="inlineStr">
        <is>
          <t>Informe pericial de Tanya Cooper para P/V y Salazar, caso 19-20738 (no es soporte de pago)</t>
        </is>
      </c>
      <c r="C25" s="8" t="inlineStr"/>
      <c r="D25" s="8" t="inlineStr"/>
      <c r="E25" s="8" t="inlineStr"/>
      <c r="F25" s="9" t="n"/>
      <c r="G25" s="8" t="inlineStr"/>
      <c r="H25" s="8" t="inlineStr">
        <is>
          <t>Prueba de uso en el juicio (Cooper declaró el 18-nov-2024, DE 123)</t>
        </is>
      </c>
      <c r="I25" s="15" t="inlineStr">
        <is>
          <t>https://drive.google.com/file/d/1S6AZoU5HnIdcOBXrRyPNtGJQ_BtY3P9F/view</t>
        </is>
      </c>
    </row>
    <row r="26">
      <c r="A26" s="8" t="inlineStr">
        <is>
          <t>The Fairway LLC 20K Nov 2024.pdf</t>
        </is>
      </c>
      <c r="B26" s="8" t="inlineStr">
        <is>
          <t>Extracto BofA de Camilo E. Mahecha, 10-oct a 6-nov-2024</t>
        </is>
      </c>
      <c r="C26" s="8" t="inlineStr">
        <is>
          <t>2024-10-25</t>
        </is>
      </c>
      <c r="D26" s="8" t="inlineStr">
        <is>
          <t>Camilo E. Mahecha</t>
        </is>
      </c>
      <c r="E26" s="8" t="inlineStr">
        <is>
          <t>TheFairway LLC</t>
        </is>
      </c>
      <c r="F26" s="9" t="n">
        <v>20000</v>
      </c>
      <c r="G26" s="8" t="inlineStr">
        <is>
          <t>Transferencia 25-oct REVERSADA 30-oct; retiro 31-oct US$25.000 sin beneficiario</t>
        </is>
      </c>
      <c r="H26" s="8" t="inlineStr">
        <is>
          <t>Fila 144 — NO prueba el pago</t>
        </is>
      </c>
      <c r="I26" s="15" t="inlineStr">
        <is>
          <t>https://drive.google.com/file/d/1XljdxlGIy_RdzcpB9-4KNeVtG34yX-fS/view</t>
        </is>
      </c>
    </row>
    <row r="27">
      <c r="A27" s="8" t="inlineStr">
        <is>
          <t>Cooper Wire Payment.pdf</t>
        </is>
      </c>
      <c r="B27" s="8" t="inlineStr">
        <is>
          <t>Wire Truist (trust P/V)</t>
        </is>
      </c>
      <c r="C27" s="8" t="inlineStr">
        <is>
          <t>2024-12-09</t>
        </is>
      </c>
      <c r="D27" s="8" t="inlineStr">
        <is>
          <t>P/V Law Firm (cta. 2277)</t>
        </is>
      </c>
      <c r="E27" s="8" t="inlineStr">
        <is>
          <t>Cooper Strategic Solutions LLC</t>
        </is>
      </c>
      <c r="F27" s="9" t="n">
        <v>32475</v>
      </c>
      <c r="G27" s="8" t="inlineStr">
        <is>
          <t>Expert Fees Mahecha Case</t>
        </is>
      </c>
      <c r="H27" s="8" t="inlineStr">
        <is>
          <t>Fila 145</t>
        </is>
      </c>
      <c r="I27" s="15" t="inlineStr">
        <is>
          <t>https://drive.google.com/file/d/1onmXBgXdV9iDuOm5LbxKV1ym7joo7koO/view</t>
        </is>
      </c>
    </row>
    <row r="28">
      <c r="A28" s="8" t="inlineStr">
        <is>
          <t>CORREO- Final Payment COOPER STATEGIC.pdf</t>
        </is>
      </c>
      <c r="B28" s="8" t="inlineStr">
        <is>
          <t>Correo P/V 9-dic-2024: pago final, acredita anticipo de US$5.000</t>
        </is>
      </c>
      <c r="C28" s="8" t="inlineStr">
        <is>
          <t>2024-12-09</t>
        </is>
      </c>
      <c r="D28" s="8" t="inlineStr"/>
      <c r="E28" s="8" t="inlineStr"/>
      <c r="F28" s="9" t="n"/>
      <c r="G28" s="8" t="inlineStr"/>
      <c r="H28" s="8" t="inlineStr">
        <is>
          <t>Fila 145</t>
        </is>
      </c>
      <c r="I28" s="15" t="inlineStr">
        <is>
          <t>https://drive.google.com/file/d/1_CgSWuwM10pb2erOgPPklVaKXIIbMnDX/view</t>
        </is>
      </c>
    </row>
    <row r="29">
      <c r="A29" s="8" t="inlineStr">
        <is>
          <t>Salazar Law re United States v. Mahecha_AMVS Engagement Letter ... signed.pdf</t>
        </is>
      </c>
      <c r="B29" s="8" t="inlineStr">
        <is>
          <t>Carta de compromiso A&amp;M (firmada por Salazar 14-nov-2024); anticipo US$15.000</t>
        </is>
      </c>
      <c r="C29" s="8" t="inlineStr">
        <is>
          <t>2024-11-08</t>
        </is>
      </c>
      <c r="D29" s="8" t="inlineStr"/>
      <c r="E29" s="8" t="inlineStr">
        <is>
          <t>Alvarez &amp; Marsal Valuation Services</t>
        </is>
      </c>
      <c r="F29" s="9" t="n">
        <v>15000</v>
      </c>
      <c r="G29" s="8" t="inlineStr"/>
      <c r="H29" s="8" t="inlineStr">
        <is>
          <t>Fila 146 (naturaleza, no pago)</t>
        </is>
      </c>
      <c r="I29" s="15" t="inlineStr">
        <is>
          <t>https://drive.google.com/file/d/1Ato2OddusGeUk8NTms4yWvGyWkzIjv_w/view</t>
        </is>
      </c>
    </row>
    <row r="30">
      <c r="A30" s="8" t="inlineStr">
        <is>
          <t>Correo Pago Salazar Devolucion Fianza.pdf</t>
        </is>
      </c>
      <c r="B30" s="8" t="inlineStr">
        <is>
          <t>Correo Camilo → P/V 15-ene-2025 con factura Salazar 6671 (US$52.542, 'cost matter')</t>
        </is>
      </c>
      <c r="C30" s="8" t="inlineStr">
        <is>
          <t>2025-01-15</t>
        </is>
      </c>
      <c r="D30" s="8" t="inlineStr"/>
      <c r="E30" s="8" t="inlineStr"/>
      <c r="F30" s="9" t="n">
        <v>52542</v>
      </c>
      <c r="G30" s="8" t="inlineStr"/>
      <c r="H30" s="8" t="inlineStr">
        <is>
          <t>Fila 148 — NO corresponde a la 6648</t>
        </is>
      </c>
      <c r="I30" s="15" t="inlineStr">
        <is>
          <t>https://drive.google.com/file/d/1ADIJpsYzoRjVHsjJWQftaIK0NzBoruvA/view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30" customWidth="1" min="3" max="3"/>
  </cols>
  <sheetData>
    <row r="1">
      <c r="A1" s="3" t="inlineStr">
        <is>
          <t>Hito</t>
        </is>
      </c>
      <c r="B1" s="3" t="inlineStr">
        <is>
          <t>Fecha</t>
        </is>
      </c>
      <c r="C1" s="3" t="inlineStr">
        <is>
          <t>Fuente (docket 1:19-cr-20738)</t>
        </is>
      </c>
    </row>
    <row r="2">
      <c r="A2" s="2" t="inlineStr">
        <is>
          <t>Arresto / entrega</t>
        </is>
      </c>
      <c r="B2" s="16" t="n">
        <v>45051</v>
      </c>
      <c r="C2" s="2" t="inlineStr">
        <is>
          <t>DE 13</t>
        </is>
      </c>
    </row>
    <row r="3">
      <c r="A3" s="2" t="inlineStr">
        <is>
          <t>Liberado bajo fianza (orden de liberación)</t>
        </is>
      </c>
      <c r="B3" s="16" t="n">
        <v>45055</v>
      </c>
      <c r="C3" s="2" t="inlineStr">
        <is>
          <t>DE 15, DE 16</t>
        </is>
      </c>
    </row>
    <row r="4">
      <c r="A4" s="2" t="inlineStr">
        <is>
          <t>Depósito 10 % de fianza de US$3M</t>
        </is>
      </c>
      <c r="B4" s="16" t="n">
        <v>45058</v>
      </c>
      <c r="C4" s="2" t="inlineStr">
        <is>
          <t>DE 21</t>
        </is>
      </c>
    </row>
    <row r="5">
      <c r="A5" s="2" t="inlineStr">
        <is>
          <t>Bono corporativo CSB US$500.000</t>
        </is>
      </c>
      <c r="B5" s="16" t="n">
        <v>45063</v>
      </c>
      <c r="C5" s="2" t="inlineStr">
        <is>
          <t>DE 22</t>
        </is>
      </c>
    </row>
    <row r="6">
      <c r="A6" s="2" t="inlineStr">
        <is>
          <t>Retiro del GPS (sigue 'report as directed')</t>
        </is>
      </c>
      <c r="B6" s="16" t="n">
        <v>45162</v>
      </c>
      <c r="C6" s="2" t="inlineStr">
        <is>
          <t>DE 32</t>
        </is>
      </c>
    </row>
    <row r="7">
      <c r="A7" s="2" t="inlineStr">
        <is>
          <t>Luis Salazar comparece como abogado</t>
        </is>
      </c>
      <c r="B7" s="16" t="n">
        <v>45496</v>
      </c>
      <c r="C7" s="2" t="inlineStr">
        <is>
          <t>DE 85</t>
        </is>
      </c>
    </row>
    <row r="8">
      <c r="A8" s="2" t="inlineStr">
        <is>
          <t>Inicio del juicio (selección del jurado)</t>
        </is>
      </c>
      <c r="B8" s="16" t="n">
        <v>45600</v>
      </c>
      <c r="C8" s="2" t="inlineStr">
        <is>
          <t>DE 110</t>
        </is>
      </c>
    </row>
    <row r="9">
      <c r="A9" s="2" t="inlineStr">
        <is>
          <t>Tanya Cooper y Steven Kurtz (A&amp;M) declaran</t>
        </is>
      </c>
      <c r="B9" s="16" t="n">
        <v>45614</v>
      </c>
      <c r="C9" s="2" t="inlineStr">
        <is>
          <t>DE 123</t>
        </is>
      </c>
    </row>
    <row r="10">
      <c r="A10" s="2" t="inlineStr">
        <is>
          <t>Veredicto de no culpable (10 cargos)</t>
        </is>
      </c>
      <c r="B10" s="16" t="n">
        <v>45617</v>
      </c>
      <c r="C10" s="2" t="inlineStr">
        <is>
          <t>DE 126, DE 128</t>
        </is>
      </c>
    </row>
    <row r="11">
      <c r="A11" s="2" t="inlineStr">
        <is>
          <t>Judgment of Acquittal</t>
        </is>
      </c>
      <c r="B11" s="16" t="n">
        <v>45618</v>
      </c>
      <c r="C11" s="2" t="inlineStr">
        <is>
          <t>DE 136</t>
        </is>
      </c>
    </row>
    <row r="12">
      <c r="A12" s="2" t="inlineStr">
        <is>
          <t>Orden de devolución de la fianza a P/V</t>
        </is>
      </c>
      <c r="B12" s="16" t="n">
        <v>45621</v>
      </c>
      <c r="C12" s="2" t="inlineStr">
        <is>
          <t>DE 138</t>
        </is>
      </c>
    </row>
    <row r="15">
      <c r="A15" t="inlineStr">
        <is>
          <t>Días en custodia (5 al 9-may-2023)</t>
        </is>
      </c>
      <c r="B15" s="17">
        <f>B3-B2</f>
        <v/>
      </c>
    </row>
    <row r="16">
      <c r="A16" t="inlineStr">
        <is>
          <t>Días en libertad CON GPS (9-may a 24-ago-2023)</t>
        </is>
      </c>
      <c r="B16" s="17">
        <f>B6-B3</f>
        <v/>
      </c>
    </row>
    <row r="17">
      <c r="A17" t="inlineStr">
        <is>
          <t>Días en libertad bajo condiciones SIN GPS (24-ago-2023 a 21-nov-2024)</t>
        </is>
      </c>
      <c r="B17" s="17">
        <f>B10-B6</f>
        <v/>
      </c>
    </row>
    <row r="18">
      <c r="A18" t="inlineStr">
        <is>
          <t>Total en libertad bajo condiciones hasta el veredicto</t>
        </is>
      </c>
      <c r="B18" s="17">
        <f>B10-B3</f>
        <v/>
      </c>
    </row>
    <row r="19">
      <c r="A19" t="inlineStr">
        <is>
          <t>El memorando del 29-sep usaba 563 días 'con GPS': el GPS solo duró 107 días.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8" customWidth="1" min="4" max="4"/>
    <col width="13" customWidth="1" min="5" max="5"/>
    <col width="8" customWidth="1" min="6" max="6"/>
    <col width="12" customWidth="1" min="7" max="7"/>
    <col width="34" customWidth="1" min="8" max="8"/>
    <col width="40" customWidth="1" min="9" max="9"/>
    <col width="40" customWidth="1" min="10" max="10"/>
    <col width="40" customWidth="1" min="11" max="11"/>
  </cols>
  <sheetData>
    <row r="1">
      <c r="A1" s="7" t="inlineStr">
        <is>
          <t>Copia del cuadro 'Legal FEES_Cuadro Soportes Pago.xlsx' enviado por Camilo Mahecha el 14-oct-2026 (Hoja1). Montos en USD redondeados como en el original.</t>
        </is>
      </c>
    </row>
    <row r="2">
      <c r="A2" s="3" t="inlineStr">
        <is>
          <t>Fecha</t>
        </is>
      </c>
      <c r="B2" s="3" t="inlineStr">
        <is>
          <t>Oficina abogado</t>
        </is>
      </c>
      <c r="C2" s="3" t="inlineStr">
        <is>
          <t>Factura a</t>
        </is>
      </c>
      <c r="D2" s="3" t="inlineStr">
        <is>
          <t>Factura</t>
        </is>
      </c>
      <c r="E2" s="3" t="inlineStr">
        <is>
          <t>Valor pesos</t>
        </is>
      </c>
      <c r="F2" s="3" t="inlineStr">
        <is>
          <t>TRM</t>
        </is>
      </c>
      <c r="G2" s="3" t="inlineStr">
        <is>
          <t>Valor USD</t>
        </is>
      </c>
      <c r="H2" s="3" t="inlineStr">
        <is>
          <t>Banco</t>
        </is>
      </c>
      <c r="I2" s="3" t="inlineStr">
        <is>
          <t>Soporte 1</t>
        </is>
      </c>
      <c r="J2" s="3" t="inlineStr">
        <is>
          <t>Soporte 2</t>
        </is>
      </c>
      <c r="K2" s="3" t="inlineStr">
        <is>
          <t>Soporte 3</t>
        </is>
      </c>
    </row>
    <row r="3">
      <c r="A3" t="inlineStr">
        <is>
          <t>2017-12-08</t>
        </is>
      </c>
      <c r="B3" t="inlineStr">
        <is>
          <t>K&amp;L GATES LLP</t>
        </is>
      </c>
      <c r="C3" t="inlineStr">
        <is>
          <t>CARLOS MAHECHA DIAZ</t>
        </is>
      </c>
      <c r="D3" t="inlineStr">
        <is>
          <t>RETAINER</t>
        </is>
      </c>
      <c r="E3" s="18" t="n"/>
      <c r="F3" s="18" t="n"/>
      <c r="G3" s="18" t="n">
        <v>100000</v>
      </c>
    </row>
    <row r="4">
      <c r="A4" t="inlineStr">
        <is>
          <t>2018-07-18</t>
        </is>
      </c>
      <c r="B4" t="inlineStr">
        <is>
          <t>K&amp;L GATES LLP</t>
        </is>
      </c>
      <c r="C4" t="inlineStr">
        <is>
          <t>CARLOS MAHECHA DIAZ</t>
        </is>
      </c>
      <c r="D4" t="inlineStr">
        <is>
          <t>3532701</t>
        </is>
      </c>
      <c r="E4" s="18" t="n"/>
      <c r="F4" s="18" t="n"/>
      <c r="G4" s="18" t="n">
        <v>25102</v>
      </c>
    </row>
    <row r="5">
      <c r="A5" t="inlineStr">
        <is>
          <t>2018-09-24</t>
        </is>
      </c>
      <c r="B5" t="inlineStr">
        <is>
          <t>K&amp;L GATES LLP</t>
        </is>
      </c>
      <c r="C5" t="inlineStr">
        <is>
          <t>CARLOS MAHECHA DIAZ</t>
        </is>
      </c>
      <c r="D5" t="inlineStr">
        <is>
          <t>3556337</t>
        </is>
      </c>
      <c r="E5" s="18" t="n"/>
      <c r="F5" s="18" t="n"/>
      <c r="G5" s="18" t="n">
        <v>41848</v>
      </c>
      <c r="H5" t="inlineStr">
        <is>
          <t>Banco de Bogota Inversiones Carelmah</t>
        </is>
      </c>
      <c r="I5" s="19" t="inlineStr">
        <is>
          <t>https://drive.google.com/file/d/1TGYKIkPjjpgF9j8ebVLzl6E0JiECemxF/view?usp=sharing</t>
        </is>
      </c>
    </row>
    <row r="6">
      <c r="A6" t="inlineStr">
        <is>
          <t>2018-10-31</t>
        </is>
      </c>
      <c r="B6" t="inlineStr">
        <is>
          <t>K&amp;L GATES LLP</t>
        </is>
      </c>
      <c r="C6" t="inlineStr">
        <is>
          <t>CARLOS MAHECHA DIAZ</t>
        </is>
      </c>
      <c r="D6" t="inlineStr">
        <is>
          <t>3579758</t>
        </is>
      </c>
      <c r="E6" s="18" t="n"/>
      <c r="F6" s="18" t="n"/>
      <c r="G6" s="18" t="n">
        <v>10584</v>
      </c>
    </row>
    <row r="7">
      <c r="A7" t="inlineStr">
        <is>
          <t>2019-01-17</t>
        </is>
      </c>
      <c r="B7" t="inlineStr">
        <is>
          <t>LEAL ANGARITA</t>
        </is>
      </c>
      <c r="C7" t="inlineStr">
        <is>
          <t>MAHECHA Y CASAS</t>
        </is>
      </c>
      <c r="D7" t="inlineStr">
        <is>
          <t>4700</t>
        </is>
      </c>
      <c r="E7" s="18" t="n">
        <v>44458090</v>
      </c>
      <c r="F7" s="18" t="n">
        <v>3143</v>
      </c>
      <c r="G7" s="18" t="n">
        <v>14145</v>
      </c>
    </row>
    <row r="8">
      <c r="A8" t="inlineStr">
        <is>
          <t>2019-02-12</t>
        </is>
      </c>
      <c r="B8" t="inlineStr">
        <is>
          <t>CARLTON FIELDS</t>
        </is>
      </c>
      <c r="C8" t="inlineStr">
        <is>
          <t>CARLOS MAHECHA DIAZ</t>
        </is>
      </c>
      <c r="D8" t="inlineStr">
        <is>
          <t>1000340</t>
        </is>
      </c>
      <c r="E8" s="18" t="n"/>
      <c r="F8" s="18" t="n"/>
      <c r="G8" s="18" t="n">
        <v>17785</v>
      </c>
    </row>
    <row r="9">
      <c r="A9" t="inlineStr">
        <is>
          <t>2019-03-27</t>
        </is>
      </c>
      <c r="B9" t="inlineStr">
        <is>
          <t>CARLTON FIELDS</t>
        </is>
      </c>
      <c r="C9" t="inlineStr">
        <is>
          <t>CARLOS MAHECHA DIAZ</t>
        </is>
      </c>
      <c r="D9" t="inlineStr">
        <is>
          <t>1006159</t>
        </is>
      </c>
      <c r="E9" s="18" t="n"/>
      <c r="F9" s="18" t="n"/>
      <c r="G9" s="18" t="n">
        <v>38386</v>
      </c>
    </row>
    <row r="10">
      <c r="A10" t="inlineStr">
        <is>
          <t>2019-05-22</t>
        </is>
      </c>
      <c r="B10" t="inlineStr">
        <is>
          <t>CARLTON FIELDS</t>
        </is>
      </c>
      <c r="C10" t="inlineStr">
        <is>
          <t>CARLOS MAHECHA DIAZ</t>
        </is>
      </c>
      <c r="D10" t="inlineStr">
        <is>
          <t>1012558</t>
        </is>
      </c>
      <c r="E10" s="18" t="n"/>
      <c r="F10" s="18" t="n"/>
      <c r="G10" s="18" t="n">
        <v>13071</v>
      </c>
    </row>
    <row r="11">
      <c r="A11" t="inlineStr">
        <is>
          <t>2019-06-17</t>
        </is>
      </c>
      <c r="B11" t="inlineStr">
        <is>
          <t>CARLTON FIELDS</t>
        </is>
      </c>
      <c r="C11" t="inlineStr">
        <is>
          <t>CARLOS MAHECHA DIAZ</t>
        </is>
      </c>
      <c r="D11" t="inlineStr">
        <is>
          <t>1014921</t>
        </is>
      </c>
      <c r="E11" s="18" t="n"/>
      <c r="F11" s="18" t="n"/>
      <c r="G11" s="18" t="n">
        <v>5770</v>
      </c>
    </row>
    <row r="12">
      <c r="A12" t="inlineStr">
        <is>
          <t>2019-06-21</t>
        </is>
      </c>
      <c r="B12" t="inlineStr">
        <is>
          <t>CARLTON FIELDS</t>
        </is>
      </c>
      <c r="C12" t="inlineStr">
        <is>
          <t>CARLOS MAHECHA DIAZ</t>
        </is>
      </c>
      <c r="D12" t="inlineStr">
        <is>
          <t>1016223</t>
        </is>
      </c>
      <c r="E12" s="18" t="n"/>
      <c r="F12" s="18" t="n"/>
      <c r="G12" s="18" t="n">
        <v>150000</v>
      </c>
      <c r="H12" t="inlineStr">
        <is>
          <t>Banco de Bogota Inversiones Carelmah</t>
        </is>
      </c>
      <c r="I12" s="19" t="inlineStr">
        <is>
          <t>https://drive.google.com/file/d/1TGYKIkPjjpgF9j8ebVLzl6E0JiECemxF/view?usp=sharing</t>
        </is>
      </c>
    </row>
    <row r="13">
      <c r="A13" t="inlineStr">
        <is>
          <t>2019-07-19</t>
        </is>
      </c>
      <c r="B13" t="inlineStr">
        <is>
          <t>CARLTON FIELDS</t>
        </is>
      </c>
      <c r="C13" t="inlineStr">
        <is>
          <t>CARLOS MAHECHA DIAZ</t>
        </is>
      </c>
      <c r="D13" t="inlineStr">
        <is>
          <t>1019377</t>
        </is>
      </c>
      <c r="E13" s="18" t="n"/>
      <c r="F13" s="18" t="n"/>
      <c r="G13" s="18" t="n">
        <v>991</v>
      </c>
    </row>
    <row r="14">
      <c r="A14" t="inlineStr">
        <is>
          <t>2019-08-27</t>
        </is>
      </c>
      <c r="B14" t="inlineStr">
        <is>
          <t>CARLTON FIELDS</t>
        </is>
      </c>
      <c r="C14" t="inlineStr">
        <is>
          <t>CARLOS MAHECHA DIAZ</t>
        </is>
      </c>
      <c r="D14" t="inlineStr">
        <is>
          <t>1023833</t>
        </is>
      </c>
      <c r="E14" s="18" t="n"/>
      <c r="F14" s="18" t="n"/>
      <c r="G14" s="18" t="n">
        <v>394</v>
      </c>
    </row>
    <row r="15">
      <c r="A15" t="inlineStr">
        <is>
          <t>2019-09-12</t>
        </is>
      </c>
      <c r="B15" t="inlineStr">
        <is>
          <t>CARLTON FIELDS</t>
        </is>
      </c>
      <c r="C15" t="inlineStr">
        <is>
          <t>CARLOS MAHECHA DIAZ</t>
        </is>
      </c>
      <c r="D15" t="inlineStr">
        <is>
          <t>1025587</t>
        </is>
      </c>
      <c r="E15" s="18" t="n"/>
      <c r="F15" s="18" t="n"/>
      <c r="G15" s="18" t="n">
        <v>3795</v>
      </c>
    </row>
    <row r="16">
      <c r="A16" t="inlineStr">
        <is>
          <t>2019-10-11</t>
        </is>
      </c>
      <c r="B16" t="inlineStr">
        <is>
          <t>CARLTON FIELDS</t>
        </is>
      </c>
      <c r="C16" t="inlineStr">
        <is>
          <t>CARLOS MAHECHA DIAZ</t>
        </is>
      </c>
      <c r="D16" t="inlineStr">
        <is>
          <t>1029904</t>
        </is>
      </c>
      <c r="E16" s="18" t="n"/>
      <c r="F16" s="18" t="n"/>
      <c r="G16" s="18" t="n">
        <v>8538</v>
      </c>
    </row>
    <row r="17">
      <c r="A17" t="inlineStr">
        <is>
          <t>2019-11-08</t>
        </is>
      </c>
      <c r="B17" t="inlineStr">
        <is>
          <t>CARLTON FIELDS</t>
        </is>
      </c>
      <c r="C17" t="inlineStr">
        <is>
          <t>CARLOS MAHECHA DIAZ</t>
        </is>
      </c>
      <c r="D17" t="inlineStr">
        <is>
          <t>1033079</t>
        </is>
      </c>
      <c r="E17" s="18" t="n"/>
      <c r="F17" s="18" t="n"/>
      <c r="G17" s="18" t="n">
        <v>3410</v>
      </c>
    </row>
    <row r="18">
      <c r="A18" t="inlineStr">
        <is>
          <t>2019-11-14</t>
        </is>
      </c>
      <c r="B18" t="inlineStr">
        <is>
          <t>LEAL ANGARITA</t>
        </is>
      </c>
      <c r="C18" t="inlineStr">
        <is>
          <t>INVERSIONES CARELMAH</t>
        </is>
      </c>
      <c r="D18" t="inlineStr">
        <is>
          <t>4862</t>
        </is>
      </c>
      <c r="E18" s="18" t="n">
        <v>14553403</v>
      </c>
      <c r="F18" s="18" t="n">
        <v>3441</v>
      </c>
      <c r="G18" s="18" t="n">
        <v>4229</v>
      </c>
    </row>
    <row r="19">
      <c r="A19" t="inlineStr">
        <is>
          <t>2019-12-01</t>
        </is>
      </c>
      <c r="B19" t="inlineStr">
        <is>
          <t>CARLTON FIELDS</t>
        </is>
      </c>
      <c r="C19" t="inlineStr">
        <is>
          <t>CARLOS MAHECHA DIAZ</t>
        </is>
      </c>
      <c r="D19" t="inlineStr">
        <is>
          <t>1038046</t>
        </is>
      </c>
      <c r="E19" s="18" t="n"/>
      <c r="F19" s="18" t="n"/>
      <c r="G19" s="18" t="n">
        <v>10148</v>
      </c>
    </row>
    <row r="20">
      <c r="A20" t="inlineStr">
        <is>
          <t>2020-02-11</t>
        </is>
      </c>
      <c r="B20" t="inlineStr">
        <is>
          <t>CARLTON FIELDS</t>
        </is>
      </c>
      <c r="C20" t="inlineStr">
        <is>
          <t>CARLOS MAHECHA DIAZ</t>
        </is>
      </c>
      <c r="D20" t="inlineStr">
        <is>
          <t>1044363</t>
        </is>
      </c>
      <c r="E20" s="18" t="n"/>
      <c r="F20" s="18" t="n"/>
      <c r="G20" s="18" t="n">
        <v>2019</v>
      </c>
    </row>
    <row r="21">
      <c r="A21" t="inlineStr">
        <is>
          <t>2020-03-09</t>
        </is>
      </c>
      <c r="B21" t="inlineStr">
        <is>
          <t>CARLTON FIELDS</t>
        </is>
      </c>
      <c r="C21" t="inlineStr">
        <is>
          <t>CARLOS MAHECHA DIAZ</t>
        </is>
      </c>
      <c r="D21" t="inlineStr">
        <is>
          <t>1048137</t>
        </is>
      </c>
      <c r="E21" s="18" t="n"/>
      <c r="F21" s="18" t="n"/>
      <c r="G21" s="18" t="n">
        <v>5047</v>
      </c>
    </row>
    <row r="22">
      <c r="A22" t="inlineStr">
        <is>
          <t>2020-04-14</t>
        </is>
      </c>
      <c r="B22" t="inlineStr">
        <is>
          <t>LEAL ANGARITA</t>
        </is>
      </c>
      <c r="C22" t="inlineStr">
        <is>
          <t>INVERSIONES CARELMAH</t>
        </is>
      </c>
      <c r="D22" t="inlineStr">
        <is>
          <t>4975</t>
        </is>
      </c>
      <c r="E22" s="18" t="n">
        <v>23404331</v>
      </c>
      <c r="F22" s="18" t="n">
        <v>3870</v>
      </c>
      <c r="G22" s="18" t="n">
        <v>6048</v>
      </c>
    </row>
    <row r="23">
      <c r="A23" t="inlineStr">
        <is>
          <t>2020-04-15</t>
        </is>
      </c>
      <c r="B23" t="inlineStr">
        <is>
          <t>CARLTON FIELDS</t>
        </is>
      </c>
      <c r="C23" t="inlineStr">
        <is>
          <t>CARLOS MAHECHA DIAZ</t>
        </is>
      </c>
      <c r="D23" t="inlineStr">
        <is>
          <t>1053502</t>
        </is>
      </c>
      <c r="E23" s="18" t="n"/>
      <c r="F23" s="18" t="n"/>
      <c r="G23" s="18" t="n">
        <v>10147</v>
      </c>
    </row>
    <row r="24">
      <c r="A24" t="inlineStr">
        <is>
          <t>2020-05-20</t>
        </is>
      </c>
      <c r="B24" t="inlineStr">
        <is>
          <t>CARLTON FIELDS</t>
        </is>
      </c>
      <c r="C24" t="inlineStr">
        <is>
          <t>CARLOS MAHECHA DIAZ</t>
        </is>
      </c>
      <c r="D24" t="inlineStr">
        <is>
          <t>1058555</t>
        </is>
      </c>
      <c r="E24" s="18" t="n"/>
      <c r="F24" s="18" t="n"/>
      <c r="G24" s="18" t="n">
        <v>11220</v>
      </c>
      <c r="H24" t="inlineStr">
        <is>
          <t>BANK OF AMERICA CARLOS - 49.000 usd ( Varias Facturas)</t>
        </is>
      </c>
      <c r="I24" s="19" t="inlineStr">
        <is>
          <t>https://drive.google.com/file/d/1v2I-j7IF6CrJrtXqe8T_JZk0Z0tn6k6H/view?usp=sharing</t>
        </is>
      </c>
    </row>
    <row r="25">
      <c r="A25" t="inlineStr">
        <is>
          <t>2020-06-11</t>
        </is>
      </c>
      <c r="B25" t="inlineStr">
        <is>
          <t>E-FORENSIC</t>
        </is>
      </c>
      <c r="C25" t="inlineStr">
        <is>
          <t>CARLOS MAHECHA DIAZ</t>
        </is>
      </c>
      <c r="D25" t="inlineStr">
        <is>
          <t>105362</t>
        </is>
      </c>
      <c r="E25" s="18" t="n"/>
      <c r="F25" s="18" t="n"/>
      <c r="G25" s="18" t="n">
        <v>7965</v>
      </c>
    </row>
    <row r="26">
      <c r="A26" t="inlineStr">
        <is>
          <t>2020-06-30</t>
        </is>
      </c>
      <c r="B26" t="inlineStr">
        <is>
          <t>CARLTON FIELDS</t>
        </is>
      </c>
      <c r="C26" t="inlineStr">
        <is>
          <t>CARLOS MAHECHA DIAZ</t>
        </is>
      </c>
      <c r="D26" t="inlineStr">
        <is>
          <t>1063082</t>
        </is>
      </c>
      <c r="E26" s="18" t="n"/>
      <c r="F26" s="18" t="n"/>
      <c r="G26" s="18" t="n">
        <v>4684</v>
      </c>
    </row>
    <row r="27">
      <c r="A27" t="inlineStr">
        <is>
          <t>2020-07-21</t>
        </is>
      </c>
      <c r="B27" t="inlineStr">
        <is>
          <t>CARLTON FIELDS</t>
        </is>
      </c>
      <c r="C27" t="inlineStr">
        <is>
          <t>CARLOS MAHECHA DIAZ</t>
        </is>
      </c>
      <c r="D27" t="inlineStr">
        <is>
          <t>1066204</t>
        </is>
      </c>
      <c r="E27" s="18" t="n"/>
      <c r="F27" s="18" t="n"/>
      <c r="G27" s="18" t="n">
        <v>9748</v>
      </c>
    </row>
    <row r="28">
      <c r="A28" t="inlineStr">
        <is>
          <t>2020-08-11</t>
        </is>
      </c>
      <c r="B28" t="inlineStr">
        <is>
          <t>CARLTON FIELDS</t>
        </is>
      </c>
      <c r="C28" t="inlineStr">
        <is>
          <t>CARLOS MAHECHA DIAZ</t>
        </is>
      </c>
      <c r="D28" t="inlineStr">
        <is>
          <t>1068272</t>
        </is>
      </c>
      <c r="E28" s="18" t="n"/>
      <c r="F28" s="18" t="n"/>
      <c r="G28" s="18" t="n">
        <v>31600</v>
      </c>
    </row>
    <row r="29">
      <c r="A29" t="inlineStr">
        <is>
          <t>2020-08-11</t>
        </is>
      </c>
      <c r="B29" t="inlineStr">
        <is>
          <t>CARLTON FIELDS</t>
        </is>
      </c>
      <c r="C29" t="inlineStr">
        <is>
          <t>CARLOS MAHECHA DIAZ</t>
        </is>
      </c>
      <c r="D29" t="inlineStr">
        <is>
          <t>1068269</t>
        </is>
      </c>
      <c r="E29" s="18" t="n"/>
      <c r="F29" s="18" t="n"/>
      <c r="G29" s="18" t="n">
        <v>3963</v>
      </c>
    </row>
    <row r="30">
      <c r="A30" t="inlineStr">
        <is>
          <t>2020-09-22</t>
        </is>
      </c>
      <c r="B30" t="inlineStr">
        <is>
          <t>CARLTON FIELDS</t>
        </is>
      </c>
      <c r="C30" t="inlineStr">
        <is>
          <t>CARLOS MAHECHA DIAZ</t>
        </is>
      </c>
      <c r="D30" t="inlineStr">
        <is>
          <t>1074721</t>
        </is>
      </c>
      <c r="E30" s="18" t="n"/>
      <c r="F30" s="18" t="n"/>
      <c r="G30" s="18" t="n">
        <v>6710</v>
      </c>
    </row>
    <row r="31">
      <c r="A31" t="inlineStr">
        <is>
          <t>2020-09-23</t>
        </is>
      </c>
      <c r="B31" t="inlineStr">
        <is>
          <t>CARLTON FIELDS</t>
        </is>
      </c>
      <c r="C31" t="inlineStr">
        <is>
          <t>CARLOS MAHECHA DIAZ</t>
        </is>
      </c>
      <c r="D31" t="inlineStr">
        <is>
          <t>1074956</t>
        </is>
      </c>
      <c r="E31" s="18" t="n"/>
      <c r="F31" s="18" t="n"/>
      <c r="G31" s="18" t="n">
        <v>41996</v>
      </c>
    </row>
    <row r="32">
      <c r="A32" t="inlineStr">
        <is>
          <t>2020-10-25</t>
        </is>
      </c>
      <c r="B32" t="inlineStr">
        <is>
          <t>CARLTON FIELDS</t>
        </is>
      </c>
      <c r="C32" t="inlineStr">
        <is>
          <t>CARLOS MAHECHA DIAZ</t>
        </is>
      </c>
      <c r="D32" t="inlineStr">
        <is>
          <t>1080049</t>
        </is>
      </c>
      <c r="E32" s="18" t="n"/>
      <c r="F32" s="18" t="n"/>
      <c r="G32" s="18" t="n">
        <v>1870</v>
      </c>
    </row>
    <row r="33">
      <c r="A33" t="inlineStr">
        <is>
          <t>2020-10-26</t>
        </is>
      </c>
      <c r="B33" t="inlineStr">
        <is>
          <t>CARLTON FIELDS</t>
        </is>
      </c>
      <c r="C33" t="inlineStr">
        <is>
          <t>CARLOS MAHECHA DIAZ</t>
        </is>
      </c>
      <c r="D33" t="inlineStr">
        <is>
          <t>1080075</t>
        </is>
      </c>
      <c r="E33" s="18" t="n"/>
      <c r="F33" s="18" t="n"/>
      <c r="G33" s="18" t="n">
        <v>20249</v>
      </c>
    </row>
    <row r="34">
      <c r="A34" t="inlineStr">
        <is>
          <t>2020-10-31</t>
        </is>
      </c>
      <c r="B34" t="inlineStr">
        <is>
          <t>CARLTON FIELDS</t>
        </is>
      </c>
      <c r="C34" t="inlineStr">
        <is>
          <t>CARLOS MAHECHA DIAZ</t>
        </is>
      </c>
      <c r="D34" t="inlineStr">
        <is>
          <t>1084118</t>
        </is>
      </c>
      <c r="E34" s="18" t="n"/>
      <c r="F34" s="18" t="n"/>
      <c r="G34" s="18" t="n">
        <v>7424</v>
      </c>
    </row>
    <row r="35">
      <c r="A35" t="inlineStr">
        <is>
          <t>2020-11-29</t>
        </is>
      </c>
      <c r="B35" t="inlineStr">
        <is>
          <t>CARLTON FIELDS</t>
        </is>
      </c>
      <c r="C35" t="inlineStr">
        <is>
          <t>CARLOS MAHECHA DIAZ</t>
        </is>
      </c>
      <c r="D35" t="inlineStr">
        <is>
          <t>1084115</t>
        </is>
      </c>
      <c r="E35" s="18" t="n"/>
      <c r="F35" s="18" t="n"/>
      <c r="G35" s="18" t="n">
        <v>385</v>
      </c>
    </row>
    <row r="36">
      <c r="A36" t="inlineStr">
        <is>
          <t>2020-11-30</t>
        </is>
      </c>
      <c r="B36" t="inlineStr">
        <is>
          <t>CARLTON FIELDS</t>
        </is>
      </c>
      <c r="C36" t="inlineStr">
        <is>
          <t>CARLOS MAHECHA DIAZ</t>
        </is>
      </c>
      <c r="D36" t="inlineStr">
        <is>
          <t>1086994</t>
        </is>
      </c>
      <c r="E36" s="18" t="n"/>
      <c r="F36" s="18" t="n"/>
      <c r="G36" s="18" t="n">
        <v>220</v>
      </c>
    </row>
    <row r="37">
      <c r="A37" t="inlineStr">
        <is>
          <t>2020-12-01</t>
        </is>
      </c>
      <c r="B37" t="inlineStr">
        <is>
          <t>CARLTON FIELDS</t>
        </is>
      </c>
      <c r="C37" t="inlineStr">
        <is>
          <t>CARLOS MAHECHA DIAZ</t>
        </is>
      </c>
      <c r="D37" t="inlineStr">
        <is>
          <t>1086997</t>
        </is>
      </c>
      <c r="E37" s="18" t="n"/>
      <c r="F37" s="18" t="n"/>
      <c r="G37" s="18" t="n">
        <v>1540</v>
      </c>
    </row>
    <row r="38">
      <c r="A38" t="inlineStr">
        <is>
          <t>2020-12-31</t>
        </is>
      </c>
      <c r="B38" t="inlineStr">
        <is>
          <t>CARLTON FIELDS</t>
        </is>
      </c>
      <c r="C38" t="inlineStr">
        <is>
          <t>CARLOS MAHECHA DIAZ</t>
        </is>
      </c>
      <c r="D38" t="inlineStr">
        <is>
          <t>1090328</t>
        </is>
      </c>
      <c r="E38" s="18" t="n"/>
      <c r="F38" s="18" t="n"/>
      <c r="G38" s="18" t="n">
        <v>10904</v>
      </c>
    </row>
    <row r="39">
      <c r="A39" t="inlineStr">
        <is>
          <t>2021-01-12</t>
        </is>
      </c>
      <c r="B39" t="inlineStr">
        <is>
          <t>SALAZAR LAW</t>
        </is>
      </c>
      <c r="C39" t="inlineStr">
        <is>
          <t>MAHECHA</t>
        </is>
      </c>
      <c r="D39" t="inlineStr">
        <is>
          <t>5738</t>
        </is>
      </c>
      <c r="E39" s="18" t="n"/>
      <c r="F39" s="18" t="n"/>
      <c r="G39" s="18" t="n">
        <v>85000</v>
      </c>
    </row>
    <row r="40">
      <c r="A40" t="inlineStr">
        <is>
          <t>2021-01-20</t>
        </is>
      </c>
      <c r="B40" t="inlineStr">
        <is>
          <t>CARLTON FIELDS</t>
        </is>
      </c>
      <c r="C40" t="inlineStr">
        <is>
          <t>CARLOS MAHECHA DIAZ</t>
        </is>
      </c>
      <c r="D40" t="inlineStr">
        <is>
          <t>1090325</t>
        </is>
      </c>
      <c r="E40" s="18" t="n"/>
      <c r="F40" s="18" t="n"/>
      <c r="G40" s="18" t="n">
        <v>882</v>
      </c>
    </row>
    <row r="41">
      <c r="A41" t="inlineStr">
        <is>
          <t>2021-02-10</t>
        </is>
      </c>
      <c r="B41" t="inlineStr">
        <is>
          <t>CARLTON FIELDS</t>
        </is>
      </c>
      <c r="C41" t="inlineStr">
        <is>
          <t>CARLOS MAHECHA DIAZ</t>
        </is>
      </c>
      <c r="D41" t="inlineStr">
        <is>
          <t>1093037</t>
        </is>
      </c>
      <c r="E41" s="18" t="n"/>
      <c r="F41" s="18" t="n"/>
      <c r="G41" s="18" t="n">
        <v>275</v>
      </c>
    </row>
    <row r="42">
      <c r="A42" t="inlineStr">
        <is>
          <t>2021-02-10</t>
        </is>
      </c>
      <c r="B42" t="inlineStr">
        <is>
          <t>CARLTON FIELDS</t>
        </is>
      </c>
      <c r="C42" t="inlineStr">
        <is>
          <t>CARLOS MAHECHA DIAZ</t>
        </is>
      </c>
      <c r="D42" t="inlineStr">
        <is>
          <t>1093039</t>
        </is>
      </c>
      <c r="E42" s="18" t="n"/>
      <c r="F42" s="18" t="n"/>
      <c r="G42" s="18" t="n">
        <v>1595</v>
      </c>
    </row>
    <row r="43">
      <c r="A43" t="inlineStr">
        <is>
          <t>2021-02-28</t>
        </is>
      </c>
      <c r="B43" t="inlineStr">
        <is>
          <t>DE LA ESPRIELLA LAWYERS</t>
        </is>
      </c>
      <c r="C43" t="inlineStr">
        <is>
          <t>CARLOS MAHECHA DIAZ</t>
        </is>
      </c>
      <c r="E43" s="18" t="n"/>
      <c r="F43" s="18" t="n"/>
      <c r="G43" s="18" t="n">
        <v>1500000</v>
      </c>
    </row>
    <row r="44">
      <c r="A44" t="inlineStr">
        <is>
          <t>2021-03-08</t>
        </is>
      </c>
      <c r="B44" t="inlineStr">
        <is>
          <t>SILVIA PINERA VASQUEZ</t>
        </is>
      </c>
      <c r="C44" t="inlineStr">
        <is>
          <t>CARLOS MAHECHA DIAZ</t>
        </is>
      </c>
      <c r="D44" t="inlineStr">
        <is>
          <t>INVOICE</t>
        </is>
      </c>
      <c r="E44" s="18" t="n"/>
      <c r="F44" s="18" t="n"/>
      <c r="G44" s="18" t="n">
        <v>155000</v>
      </c>
      <c r="H44" t="inlineStr">
        <is>
          <t>MMG BANK - TREVANES LTD</t>
        </is>
      </c>
      <c r="I44" s="19" t="inlineStr">
        <is>
          <t>https://drive.google.com/file/d/1FtrVeKstxeQ8Afa6FynBNm4PFF-vIXM_/view?usp=sharing</t>
        </is>
      </c>
    </row>
    <row r="45">
      <c r="A45" t="inlineStr">
        <is>
          <t>2021-03-11</t>
        </is>
      </c>
      <c r="B45" t="inlineStr">
        <is>
          <t>CARLTON FIELDS</t>
        </is>
      </c>
      <c r="C45" t="inlineStr">
        <is>
          <t>CARLOS MAHECHA DIAZ</t>
        </is>
      </c>
      <c r="D45" t="inlineStr">
        <is>
          <t>1097164</t>
        </is>
      </c>
      <c r="E45" s="18" t="n"/>
      <c r="F45" s="18" t="n"/>
      <c r="G45" s="18" t="n">
        <v>44944</v>
      </c>
    </row>
    <row r="46">
      <c r="A46" t="inlineStr">
        <is>
          <t>2021-03-12</t>
        </is>
      </c>
      <c r="B46" t="inlineStr">
        <is>
          <t>LEAL ANGARITA</t>
        </is>
      </c>
      <c r="C46" t="inlineStr">
        <is>
          <t>INVERSIONES CARELMAH</t>
        </is>
      </c>
      <c r="D46" t="inlineStr">
        <is>
          <t>FE126</t>
        </is>
      </c>
      <c r="E46" s="18" t="n">
        <v>29037059</v>
      </c>
      <c r="F46" s="18" t="n">
        <v>3534</v>
      </c>
      <c r="G46" s="18" t="n">
        <v>8216</v>
      </c>
    </row>
    <row r="47">
      <c r="A47" t="inlineStr">
        <is>
          <t>2021-03-16</t>
        </is>
      </c>
      <c r="B47" t="inlineStr">
        <is>
          <t>CARLTON FIELDS</t>
        </is>
      </c>
      <c r="C47" t="inlineStr">
        <is>
          <t>CARLOS MAHECHA DIAZ</t>
        </is>
      </c>
      <c r="D47" t="inlineStr">
        <is>
          <t>1098111</t>
        </is>
      </c>
      <c r="E47" s="18" t="n"/>
      <c r="F47" s="18" t="n"/>
      <c r="G47" s="18" t="n">
        <v>8903</v>
      </c>
    </row>
    <row r="48">
      <c r="A48" t="inlineStr">
        <is>
          <t>2021-04-15</t>
        </is>
      </c>
      <c r="B48" t="inlineStr">
        <is>
          <t>CARLTON FIELDS</t>
        </is>
      </c>
      <c r="C48" t="inlineStr">
        <is>
          <t>CARLOS MAHECHA DIAZ</t>
        </is>
      </c>
      <c r="D48" t="inlineStr">
        <is>
          <t>1102376</t>
        </is>
      </c>
      <c r="E48" s="18" t="n"/>
      <c r="F48" s="18" t="n"/>
      <c r="G48" s="18" t="n">
        <v>57913</v>
      </c>
    </row>
    <row r="49">
      <c r="A49" t="inlineStr">
        <is>
          <t>2021-05-18</t>
        </is>
      </c>
      <c r="B49" t="inlineStr">
        <is>
          <t>CARLTON FIELDS</t>
        </is>
      </c>
      <c r="C49" t="inlineStr">
        <is>
          <t>CARLOS MAHECHA DIAZ</t>
        </is>
      </c>
      <c r="D49" t="inlineStr">
        <is>
          <t>1106937</t>
        </is>
      </c>
      <c r="E49" s="18" t="n"/>
      <c r="F49" s="18" t="n"/>
      <c r="G49" s="18" t="n">
        <v>44068</v>
      </c>
    </row>
    <row r="50">
      <c r="A50" t="inlineStr">
        <is>
          <t>2021-06-23</t>
        </is>
      </c>
      <c r="B50" t="inlineStr">
        <is>
          <t>CARLTON FIELDS</t>
        </is>
      </c>
      <c r="C50" t="inlineStr">
        <is>
          <t>CARLOS MAHECHA DIAZ</t>
        </is>
      </c>
      <c r="D50" t="inlineStr">
        <is>
          <t>1112099</t>
        </is>
      </c>
      <c r="E50" s="18" t="n"/>
      <c r="F50" s="18" t="n"/>
      <c r="G50" s="18" t="n">
        <v>52860</v>
      </c>
    </row>
    <row r="51">
      <c r="A51" t="inlineStr">
        <is>
          <t>2021-07-15</t>
        </is>
      </c>
      <c r="B51" t="inlineStr">
        <is>
          <t>CARLTON FIELDS</t>
        </is>
      </c>
      <c r="C51" t="inlineStr">
        <is>
          <t>CARLOS MAHECHA DIAZ</t>
        </is>
      </c>
      <c r="D51" t="inlineStr">
        <is>
          <t>1114458</t>
        </is>
      </c>
      <c r="E51" s="18" t="n"/>
      <c r="F51" s="18" t="n"/>
      <c r="G51" s="18" t="n">
        <v>75917</v>
      </c>
    </row>
    <row r="52">
      <c r="A52" t="inlineStr">
        <is>
          <t>2021-08-17</t>
        </is>
      </c>
      <c r="B52" t="inlineStr">
        <is>
          <t>CARLTON FIELDS</t>
        </is>
      </c>
      <c r="C52" t="inlineStr">
        <is>
          <t>CARLOS MAHECHA DIAZ</t>
        </is>
      </c>
      <c r="D52" t="inlineStr">
        <is>
          <t>1118432</t>
        </is>
      </c>
      <c r="E52" s="18" t="n"/>
      <c r="F52" s="18" t="n"/>
      <c r="G52" s="18" t="n">
        <v>72265</v>
      </c>
    </row>
    <row r="53">
      <c r="A53" t="inlineStr">
        <is>
          <t>2021-09-08</t>
        </is>
      </c>
      <c r="B53" t="inlineStr">
        <is>
          <t>CARLTON FIELDS</t>
        </is>
      </c>
      <c r="C53" t="inlineStr">
        <is>
          <t>CARLOS MAHECHA DIAZ</t>
        </is>
      </c>
      <c r="D53" t="inlineStr">
        <is>
          <t>1122306</t>
        </is>
      </c>
      <c r="E53" s="18" t="n"/>
      <c r="F53" s="18" t="n"/>
      <c r="G53" s="18" t="n">
        <v>139124</v>
      </c>
      <c r="H53" t="inlineStr">
        <is>
          <t>MMG BANK - TREVANES LTD</t>
        </is>
      </c>
      <c r="I53" s="19" t="inlineStr">
        <is>
          <t>https://drive.google.com/file/d/1mKx7K734bAGNbLhfZ1Fxm1Rk8GrhU8rm/view?usp=sharing</t>
        </is>
      </c>
      <c r="J53" s="19" t="inlineStr">
        <is>
          <t>https://drive.google.com/file/d/1C60wmlVhSUgJ9cfc4FYvPA6BtSFE2OIW/view?usp=sharing</t>
        </is>
      </c>
    </row>
    <row r="54">
      <c r="A54" t="inlineStr">
        <is>
          <t>2021-09-28</t>
        </is>
      </c>
      <c r="B54" t="inlineStr">
        <is>
          <t>MONICA CHACHIN FINANCIAL</t>
        </is>
      </c>
      <c r="C54" t="inlineStr">
        <is>
          <t>CAMILO MAHECHA</t>
        </is>
      </c>
      <c r="D54" t="inlineStr">
        <is>
          <t>101</t>
        </is>
      </c>
      <c r="E54" s="18" t="n"/>
      <c r="F54" s="18" t="n"/>
      <c r="G54" s="18" t="n">
        <v>2500</v>
      </c>
    </row>
    <row r="55">
      <c r="A55" t="inlineStr">
        <is>
          <t>2021-10-11</t>
        </is>
      </c>
      <c r="B55" t="inlineStr">
        <is>
          <t>CARLTON FIELDS</t>
        </is>
      </c>
      <c r="C55" t="inlineStr">
        <is>
          <t>CARLOS MAHECHA DIAZ</t>
        </is>
      </c>
      <c r="D55" t="inlineStr">
        <is>
          <t>1127737</t>
        </is>
      </c>
      <c r="E55" s="18" t="n"/>
      <c r="F55" s="18" t="n"/>
      <c r="G55" s="18" t="n">
        <v>138774</v>
      </c>
    </row>
    <row r="56">
      <c r="A56" t="inlineStr">
        <is>
          <t>2021-11-16</t>
        </is>
      </c>
      <c r="B56" t="inlineStr">
        <is>
          <t>CARLTON FIELDS</t>
        </is>
      </c>
      <c r="C56" t="inlineStr">
        <is>
          <t>CARLOS MAHECHA DIAZ</t>
        </is>
      </c>
      <c r="D56" t="inlineStr">
        <is>
          <t>1138167</t>
        </is>
      </c>
      <c r="E56" s="18" t="n"/>
      <c r="F56" s="18" t="n"/>
      <c r="G56" s="18" t="n">
        <v>9112</v>
      </c>
    </row>
    <row r="57">
      <c r="A57" t="inlineStr">
        <is>
          <t>2021-11-16</t>
        </is>
      </c>
      <c r="B57" t="inlineStr">
        <is>
          <t>CARLTON FIELDS</t>
        </is>
      </c>
      <c r="C57" t="inlineStr">
        <is>
          <t>CARLOS MAHECHA DIAZ</t>
        </is>
      </c>
      <c r="D57" t="inlineStr">
        <is>
          <t>1134855</t>
        </is>
      </c>
      <c r="E57" s="18" t="n"/>
      <c r="F57" s="18" t="n"/>
      <c r="G57" s="18" t="n">
        <v>42513</v>
      </c>
    </row>
    <row r="58">
      <c r="A58" t="inlineStr">
        <is>
          <t>2022-01-31</t>
        </is>
      </c>
      <c r="B58" t="inlineStr">
        <is>
          <t>CARLTON FIELDS</t>
        </is>
      </c>
      <c r="C58" t="inlineStr">
        <is>
          <t>CARLOS MAHECHA DIAZ</t>
        </is>
      </c>
      <c r="D58" t="inlineStr">
        <is>
          <t>1145219</t>
        </is>
      </c>
      <c r="E58" s="18" t="n"/>
      <c r="F58" s="18" t="n"/>
      <c r="G58" s="18" t="n">
        <v>4436</v>
      </c>
    </row>
    <row r="59">
      <c r="A59" t="inlineStr">
        <is>
          <t>2022-02-28</t>
        </is>
      </c>
      <c r="B59" t="inlineStr">
        <is>
          <t>SALAZAR LAW</t>
        </is>
      </c>
      <c r="C59" t="inlineStr">
        <is>
          <t>MAHECHA</t>
        </is>
      </c>
      <c r="D59" t="inlineStr">
        <is>
          <t>5739</t>
        </is>
      </c>
      <c r="E59" s="18" t="n"/>
      <c r="F59" s="18" t="n"/>
      <c r="G59" s="18" t="n">
        <v>12820</v>
      </c>
    </row>
    <row r="60">
      <c r="A60" t="inlineStr">
        <is>
          <t>2022-02-28</t>
        </is>
      </c>
      <c r="B60" t="inlineStr">
        <is>
          <t>SALAZAR LAW</t>
        </is>
      </c>
      <c r="C60" t="inlineStr">
        <is>
          <t>MAHECHA</t>
        </is>
      </c>
      <c r="D60" t="inlineStr">
        <is>
          <t>5721</t>
        </is>
      </c>
      <c r="E60" s="18" t="n"/>
      <c r="F60" s="18" t="n"/>
      <c r="G60" s="18" t="n">
        <v>46992</v>
      </c>
    </row>
    <row r="61">
      <c r="A61" t="inlineStr">
        <is>
          <t>2022-03-28</t>
        </is>
      </c>
      <c r="B61" t="inlineStr">
        <is>
          <t>CARLTON FIELDS</t>
        </is>
      </c>
      <c r="C61" t="inlineStr">
        <is>
          <t>CARLOS MAHECHA DIAZ</t>
        </is>
      </c>
      <c r="D61" t="inlineStr">
        <is>
          <t>1153246</t>
        </is>
      </c>
      <c r="E61" s="18" t="n"/>
      <c r="F61" s="18" t="n"/>
      <c r="G61" s="18" t="n">
        <v>521</v>
      </c>
    </row>
    <row r="62">
      <c r="A62" t="inlineStr">
        <is>
          <t>2022-04-15</t>
        </is>
      </c>
      <c r="B62" t="inlineStr">
        <is>
          <t>SALAZAR LAW</t>
        </is>
      </c>
      <c r="C62" t="inlineStr">
        <is>
          <t>MAHECHA</t>
        </is>
      </c>
      <c r="D62" t="inlineStr">
        <is>
          <t>5779</t>
        </is>
      </c>
      <c r="E62" s="18" t="n"/>
      <c r="F62" s="18" t="n"/>
      <c r="G62" s="18" t="n">
        <v>55715</v>
      </c>
    </row>
    <row r="63">
      <c r="A63" t="inlineStr">
        <is>
          <t>2022-04-30</t>
        </is>
      </c>
      <c r="B63" t="inlineStr">
        <is>
          <t>SALAZAR LAW</t>
        </is>
      </c>
      <c r="C63" t="inlineStr">
        <is>
          <t>MAHECHA</t>
        </is>
      </c>
      <c r="D63" t="inlineStr">
        <is>
          <t>5828</t>
        </is>
      </c>
      <c r="E63" s="18" t="n"/>
      <c r="F63" s="18" t="n"/>
      <c r="G63" s="18" t="n">
        <v>39266</v>
      </c>
    </row>
    <row r="64">
      <c r="A64" t="inlineStr">
        <is>
          <t>2022-05-05</t>
        </is>
      </c>
      <c r="B64" t="inlineStr">
        <is>
          <t>CARLTON FIELDS</t>
        </is>
      </c>
      <c r="C64" t="inlineStr">
        <is>
          <t>CARLOS MAHECHA DIAZ</t>
        </is>
      </c>
      <c r="D64" t="inlineStr">
        <is>
          <t>1159746</t>
        </is>
      </c>
      <c r="E64" s="18" t="n"/>
      <c r="F64" s="18" t="n"/>
      <c r="G64" s="18" t="n">
        <v>520</v>
      </c>
    </row>
    <row r="65">
      <c r="A65" t="inlineStr">
        <is>
          <t>2022-06-14</t>
        </is>
      </c>
      <c r="B65" t="inlineStr">
        <is>
          <t>BERGER SINGERMAN</t>
        </is>
      </c>
      <c r="C65" t="inlineStr">
        <is>
          <t>CARLOS MAHECHA DIAZ</t>
        </is>
      </c>
      <c r="D65" t="inlineStr">
        <is>
          <t>253930</t>
        </is>
      </c>
      <c r="E65" s="18" t="n"/>
      <c r="F65" s="18" t="n"/>
      <c r="G65" s="18" t="n">
        <v>4587</v>
      </c>
    </row>
    <row r="66">
      <c r="A66" t="inlineStr">
        <is>
          <t>2022-06-30</t>
        </is>
      </c>
      <c r="B66" t="inlineStr">
        <is>
          <t>SALAZAR LAW</t>
        </is>
      </c>
      <c r="C66" t="inlineStr">
        <is>
          <t>MAHECHA</t>
        </is>
      </c>
      <c r="D66" t="inlineStr">
        <is>
          <t>5854</t>
        </is>
      </c>
      <c r="E66" s="18" t="n"/>
      <c r="F66" s="18" t="n"/>
      <c r="G66" s="18" t="n">
        <v>53642</v>
      </c>
    </row>
    <row r="67">
      <c r="A67" t="inlineStr">
        <is>
          <t>2022-06-30</t>
        </is>
      </c>
      <c r="B67" t="inlineStr">
        <is>
          <t>SALAZAR LAW</t>
        </is>
      </c>
      <c r="C67" t="inlineStr">
        <is>
          <t>MAHECHA</t>
        </is>
      </c>
      <c r="D67" t="inlineStr">
        <is>
          <t>5851</t>
        </is>
      </c>
      <c r="E67" s="18" t="n"/>
      <c r="F67" s="18" t="n"/>
      <c r="G67" s="18" t="n">
        <v>16393</v>
      </c>
    </row>
    <row r="68">
      <c r="A68" t="inlineStr">
        <is>
          <t>2022-08-17</t>
        </is>
      </c>
      <c r="B68" t="inlineStr">
        <is>
          <t>SALAZAR LAW</t>
        </is>
      </c>
      <c r="C68" t="inlineStr">
        <is>
          <t>MAHECHA</t>
        </is>
      </c>
      <c r="D68" t="inlineStr">
        <is>
          <t>5894</t>
        </is>
      </c>
      <c r="E68" s="18" t="n"/>
      <c r="F68" s="18" t="n"/>
      <c r="G68" s="18" t="n">
        <v>76671</v>
      </c>
    </row>
    <row r="69">
      <c r="A69" t="inlineStr">
        <is>
          <t>2022-08-17</t>
        </is>
      </c>
      <c r="B69" t="inlineStr">
        <is>
          <t>SALAZAR LAW</t>
        </is>
      </c>
      <c r="C69" t="inlineStr">
        <is>
          <t>MAHECHA</t>
        </is>
      </c>
      <c r="D69" t="inlineStr">
        <is>
          <t>5877</t>
        </is>
      </c>
      <c r="E69" s="18" t="n"/>
      <c r="F69" s="18" t="n"/>
      <c r="G69" s="18" t="n">
        <v>7480</v>
      </c>
    </row>
    <row r="70">
      <c r="A70" t="inlineStr">
        <is>
          <t>2022-09-15</t>
        </is>
      </c>
      <c r="B70" t="inlineStr">
        <is>
          <t>Eisner Advisory Group LLC</t>
        </is>
      </c>
      <c r="C70" t="inlineStr">
        <is>
          <t>Salazar Law: Mahecha (Drew Dillworth)</t>
        </is>
      </c>
      <c r="D70" t="inlineStr">
        <is>
          <t>1182199</t>
        </is>
      </c>
      <c r="E70" s="18" t="n"/>
      <c r="F70" s="18" t="n"/>
      <c r="G70" s="18" t="n">
        <v>19708</v>
      </c>
    </row>
    <row r="71">
      <c r="A71" t="inlineStr">
        <is>
          <t>2022-09-15</t>
        </is>
      </c>
      <c r="B71" t="inlineStr">
        <is>
          <t>SALAZAR LAW</t>
        </is>
      </c>
      <c r="C71" t="inlineStr">
        <is>
          <t>MAHECHA</t>
        </is>
      </c>
      <c r="D71" t="inlineStr">
        <is>
          <t>5905</t>
        </is>
      </c>
      <c r="E71" s="18" t="n"/>
      <c r="F71" s="18" t="n"/>
      <c r="G71" s="18" t="n">
        <v>7921</v>
      </c>
    </row>
    <row r="72">
      <c r="A72" t="inlineStr">
        <is>
          <t>2022-09-15</t>
        </is>
      </c>
      <c r="B72" t="inlineStr">
        <is>
          <t>SALAZAR LAW</t>
        </is>
      </c>
      <c r="C72" t="inlineStr">
        <is>
          <t>MAHECHA</t>
        </is>
      </c>
      <c r="D72" t="inlineStr">
        <is>
          <t>5904</t>
        </is>
      </c>
      <c r="E72" s="18" t="n"/>
      <c r="F72" s="18" t="n"/>
      <c r="G72" s="18" t="n">
        <v>98000</v>
      </c>
    </row>
    <row r="73">
      <c r="A73" t="inlineStr">
        <is>
          <t>2022-10-15</t>
        </is>
      </c>
      <c r="B73" t="inlineStr">
        <is>
          <t>SALAZAR LAW</t>
        </is>
      </c>
      <c r="C73" t="inlineStr">
        <is>
          <t>MAHECHA</t>
        </is>
      </c>
      <c r="D73" t="inlineStr">
        <is>
          <t>5916</t>
        </is>
      </c>
      <c r="E73" s="18" t="n"/>
      <c r="F73" s="18" t="n"/>
      <c r="G73" s="18" t="n">
        <v>157580</v>
      </c>
    </row>
    <row r="74">
      <c r="A74" t="inlineStr">
        <is>
          <t>2022-10-15</t>
        </is>
      </c>
      <c r="B74" t="inlineStr">
        <is>
          <t>SALAZAR LAW</t>
        </is>
      </c>
      <c r="C74" t="inlineStr">
        <is>
          <t>MAHECHA</t>
        </is>
      </c>
      <c r="D74" t="inlineStr">
        <is>
          <t>5917</t>
        </is>
      </c>
      <c r="E74" s="18" t="n"/>
      <c r="F74" s="18" t="n"/>
      <c r="G74" s="18" t="n">
        <v>1018</v>
      </c>
    </row>
    <row r="75">
      <c r="A75" t="inlineStr">
        <is>
          <t>2022-10-21</t>
        </is>
      </c>
      <c r="B75" t="inlineStr">
        <is>
          <t>Eisner Advisory Group LLC</t>
        </is>
      </c>
      <c r="C75" t="inlineStr">
        <is>
          <t>Salazar Law: Mahecha (Drew Dillworth)</t>
        </is>
      </c>
      <c r="D75" t="inlineStr">
        <is>
          <t>1193653</t>
        </is>
      </c>
      <c r="E75" s="18" t="n"/>
      <c r="F75" s="18" t="n"/>
      <c r="G75" s="18" t="n">
        <v>2293</v>
      </c>
    </row>
    <row r="76">
      <c r="A76" t="inlineStr">
        <is>
          <t>2022-10-31</t>
        </is>
      </c>
      <c r="B76" t="inlineStr">
        <is>
          <t>SALAZAR LAW</t>
        </is>
      </c>
      <c r="C76" t="inlineStr">
        <is>
          <t>MAHECHA</t>
        </is>
      </c>
      <c r="D76" t="inlineStr">
        <is>
          <t>5928</t>
        </is>
      </c>
      <c r="E76" s="18" t="n"/>
      <c r="F76" s="18" t="n"/>
      <c r="G76" s="18" t="n">
        <v>7809</v>
      </c>
    </row>
    <row r="77">
      <c r="A77" t="inlineStr">
        <is>
          <t>2022-11-07</t>
        </is>
      </c>
      <c r="B77" t="inlineStr">
        <is>
          <t>SALAZAR LAW</t>
        </is>
      </c>
      <c r="C77" t="inlineStr">
        <is>
          <t>MAHECHA</t>
        </is>
      </c>
      <c r="D77" t="inlineStr">
        <is>
          <t>5932</t>
        </is>
      </c>
      <c r="E77" s="18" t="n"/>
      <c r="F77" s="18" t="n"/>
      <c r="G77" s="18" t="n">
        <v>19344</v>
      </c>
    </row>
    <row r="78">
      <c r="A78" t="inlineStr">
        <is>
          <t>2022-11-11</t>
        </is>
      </c>
      <c r="B78" t="inlineStr">
        <is>
          <t>Eisner Advisory Group LLC</t>
        </is>
      </c>
      <c r="C78" t="inlineStr">
        <is>
          <t>Salazar Law: Mahecha (Drew Dillworth)</t>
        </is>
      </c>
      <c r="D78" t="inlineStr">
        <is>
          <t>1204615</t>
        </is>
      </c>
      <c r="E78" s="18" t="n"/>
      <c r="F78" s="18" t="n"/>
      <c r="G78" s="18" t="n">
        <v>35906</v>
      </c>
    </row>
    <row r="79">
      <c r="A79" t="inlineStr">
        <is>
          <t>2022-11-15</t>
        </is>
      </c>
      <c r="B79" t="inlineStr">
        <is>
          <t>SALAZAR LAW</t>
        </is>
      </c>
      <c r="C79" t="inlineStr">
        <is>
          <t>MAHECHA</t>
        </is>
      </c>
      <c r="D79" t="inlineStr">
        <is>
          <t>5932</t>
        </is>
      </c>
      <c r="E79" s="18" t="n"/>
      <c r="F79" s="18" t="n"/>
      <c r="G79" s="18" t="n">
        <v>19344</v>
      </c>
    </row>
    <row r="80">
      <c r="A80" t="inlineStr">
        <is>
          <t>2022-11-15</t>
        </is>
      </c>
      <c r="B80" t="inlineStr">
        <is>
          <t>SALAZAR LAW</t>
        </is>
      </c>
      <c r="C80" t="inlineStr">
        <is>
          <t>MAHECHA</t>
        </is>
      </c>
      <c r="D80" t="inlineStr">
        <is>
          <t>5973</t>
        </is>
      </c>
      <c r="E80" s="18" t="n"/>
      <c r="F80" s="18" t="n"/>
      <c r="G80" s="18" t="n">
        <v>12199</v>
      </c>
    </row>
    <row r="81">
      <c r="A81" t="inlineStr">
        <is>
          <t>2022-11-15</t>
        </is>
      </c>
      <c r="B81" t="inlineStr">
        <is>
          <t>SALAZAR LAW</t>
        </is>
      </c>
      <c r="C81" t="inlineStr">
        <is>
          <t>MAHECHA</t>
        </is>
      </c>
      <c r="D81" t="inlineStr">
        <is>
          <t>5928</t>
        </is>
      </c>
      <c r="E81" s="18" t="n"/>
      <c r="F81" s="18" t="n"/>
      <c r="G81" s="18" t="n">
        <v>7809</v>
      </c>
    </row>
    <row r="82">
      <c r="A82" t="inlineStr">
        <is>
          <t>2022-12-15</t>
        </is>
      </c>
      <c r="B82" t="inlineStr">
        <is>
          <t>SALAZAR LAW</t>
        </is>
      </c>
      <c r="C82" t="inlineStr">
        <is>
          <t>MAHECHA</t>
        </is>
      </c>
      <c r="D82" t="inlineStr">
        <is>
          <t>5968</t>
        </is>
      </c>
      <c r="E82" s="18" t="n"/>
      <c r="F82" s="18" t="n"/>
      <c r="G82" s="18" t="n">
        <v>12378</v>
      </c>
    </row>
    <row r="83">
      <c r="A83" t="inlineStr">
        <is>
          <t>2022-12-16</t>
        </is>
      </c>
      <c r="B83" t="inlineStr">
        <is>
          <t>Eisner Advisory Group LLC</t>
        </is>
      </c>
      <c r="C83" t="inlineStr">
        <is>
          <t>Salazar Law: Mahecha (Drew Dillworth)</t>
        </is>
      </c>
      <c r="D83" t="inlineStr">
        <is>
          <t>1220774</t>
        </is>
      </c>
      <c r="E83" s="18" t="n"/>
      <c r="F83" s="18" t="n"/>
      <c r="G83" s="18" t="n">
        <v>20895</v>
      </c>
    </row>
    <row r="84">
      <c r="A84" t="inlineStr">
        <is>
          <t>2022-12-31</t>
        </is>
      </c>
      <c r="B84" t="inlineStr">
        <is>
          <t>SALAZAR LAW</t>
        </is>
      </c>
      <c r="C84" t="inlineStr">
        <is>
          <t>MAHECHA</t>
        </is>
      </c>
      <c r="D84" t="inlineStr">
        <is>
          <t>6002</t>
        </is>
      </c>
      <c r="E84" s="18" t="n"/>
      <c r="F84" s="18" t="n"/>
      <c r="G84" s="18" t="n">
        <v>20335</v>
      </c>
    </row>
    <row r="85">
      <c r="A85" t="inlineStr">
        <is>
          <t>2023-01-15</t>
        </is>
      </c>
      <c r="B85" t="inlineStr">
        <is>
          <t>SALAZAR LAW</t>
        </is>
      </c>
      <c r="C85" t="inlineStr">
        <is>
          <t>MAHECHA</t>
        </is>
      </c>
      <c r="D85" t="inlineStr">
        <is>
          <t>5999</t>
        </is>
      </c>
      <c r="E85" s="18" t="n"/>
      <c r="F85" s="18" t="n"/>
      <c r="G85" s="18" t="n">
        <v>9291</v>
      </c>
    </row>
    <row r="86">
      <c r="A86" t="inlineStr">
        <is>
          <t>2023-01-28</t>
        </is>
      </c>
      <c r="B86" t="inlineStr">
        <is>
          <t>SILVIA PINERA VASQUEZ</t>
        </is>
      </c>
      <c r="C86" t="inlineStr">
        <is>
          <t>CARLOS MAHECHA DIAZ</t>
        </is>
      </c>
      <c r="D86" t="inlineStr">
        <is>
          <t>TRIAL REPRESENTATION</t>
        </is>
      </c>
      <c r="E86" s="18" t="n"/>
      <c r="F86" s="18" t="n"/>
      <c r="G86" s="18" t="n">
        <v>200000</v>
      </c>
      <c r="I86" s="19" t="inlineStr">
        <is>
          <t>https://drive.google.com/file/d/1q1qpNCVhrwIUm6CUro00oUJf9VdB0Ekj/view?usp=sharing</t>
        </is>
      </c>
      <c r="J86" s="19" t="inlineStr">
        <is>
          <t>https://drive.google.com/file/d/1uT0Ov8nxZQLjT_F79p_mkOhnBxDykbo0/view?usp=sharing</t>
        </is>
      </c>
    </row>
    <row r="87">
      <c r="A87" t="inlineStr">
        <is>
          <t>2023-02-15</t>
        </is>
      </c>
      <c r="B87" t="inlineStr">
        <is>
          <t>SALAZAR LAW</t>
        </is>
      </c>
      <c r="C87" t="inlineStr">
        <is>
          <t>MAHECHA</t>
        </is>
      </c>
      <c r="D87" t="inlineStr">
        <is>
          <t>6028</t>
        </is>
      </c>
      <c r="E87" s="18" t="n"/>
      <c r="F87" s="18" t="n"/>
      <c r="G87" s="18" t="n">
        <v>9356</v>
      </c>
    </row>
    <row r="88">
      <c r="A88" t="inlineStr">
        <is>
          <t>2023-02-16</t>
        </is>
      </c>
      <c r="B88" t="inlineStr">
        <is>
          <t>Eisner Advisory Group LLC</t>
        </is>
      </c>
      <c r="C88" t="inlineStr">
        <is>
          <t>Salazar Law: Mahecha (Drew Dillworth)</t>
        </is>
      </c>
      <c r="D88" t="inlineStr">
        <is>
          <t>1242043</t>
        </is>
      </c>
      <c r="E88" s="18" t="n"/>
      <c r="F88" s="18" t="n"/>
      <c r="G88" s="18" t="n">
        <v>7725</v>
      </c>
    </row>
    <row r="89">
      <c r="A89" t="inlineStr">
        <is>
          <t>2023-02-15</t>
        </is>
      </c>
      <c r="B89" t="inlineStr">
        <is>
          <t>SALAZAR LAW</t>
        </is>
      </c>
      <c r="C89" t="inlineStr">
        <is>
          <t>MAHECHA</t>
        </is>
      </c>
      <c r="D89" t="inlineStr">
        <is>
          <t>6031</t>
        </is>
      </c>
      <c r="E89" s="18" t="n"/>
      <c r="F89" s="18" t="n"/>
      <c r="G89" s="18" t="n">
        <v>40670</v>
      </c>
    </row>
    <row r="90">
      <c r="A90" t="inlineStr">
        <is>
          <t>2023-02-28</t>
        </is>
      </c>
      <c r="B90" t="inlineStr">
        <is>
          <t>SALAZAR LAW</t>
        </is>
      </c>
      <c r="C90" t="inlineStr">
        <is>
          <t>MAHECHA</t>
        </is>
      </c>
      <c r="D90" t="inlineStr">
        <is>
          <t>6045</t>
        </is>
      </c>
      <c r="E90" s="18" t="n"/>
      <c r="F90" s="18" t="n"/>
      <c r="G90" s="18" t="n">
        <v>9829</v>
      </c>
    </row>
    <row r="91">
      <c r="A91" t="inlineStr">
        <is>
          <t>2023-02-28</t>
        </is>
      </c>
      <c r="B91" t="inlineStr">
        <is>
          <t>SALAZAR LAW</t>
        </is>
      </c>
      <c r="C91" t="inlineStr">
        <is>
          <t>MAHECHA</t>
        </is>
      </c>
      <c r="D91" t="inlineStr">
        <is>
          <t>6046</t>
        </is>
      </c>
      <c r="E91" s="18" t="n"/>
      <c r="F91" s="18" t="n"/>
      <c r="G91" s="18" t="n">
        <v>18537</v>
      </c>
    </row>
    <row r="92">
      <c r="A92" t="inlineStr">
        <is>
          <t>2023-03-29</t>
        </is>
      </c>
      <c r="B92" t="inlineStr">
        <is>
          <t>Eisner Advisory Group LLC</t>
        </is>
      </c>
      <c r="C92" t="inlineStr">
        <is>
          <t>Salazar Law: Mahecha (Drew Dillworth)</t>
        </is>
      </c>
      <c r="D92" t="inlineStr">
        <is>
          <t>1256635</t>
        </is>
      </c>
      <c r="E92" s="18" t="n"/>
      <c r="F92" s="18" t="n"/>
      <c r="G92" s="18" t="n">
        <v>8520</v>
      </c>
    </row>
    <row r="93">
      <c r="A93" t="inlineStr">
        <is>
          <t>2023-03-31</t>
        </is>
      </c>
      <c r="B93" t="inlineStr">
        <is>
          <t>SALAZAR LAW</t>
        </is>
      </c>
      <c r="C93" t="inlineStr">
        <is>
          <t>MAHECHA</t>
        </is>
      </c>
      <c r="D93" t="inlineStr">
        <is>
          <t>6093</t>
        </is>
      </c>
      <c r="E93" s="18" t="n"/>
      <c r="F93" s="18" t="n"/>
      <c r="G93" s="18" t="n">
        <v>113942</v>
      </c>
    </row>
    <row r="94">
      <c r="A94" t="inlineStr">
        <is>
          <t>2023-04-15</t>
        </is>
      </c>
      <c r="B94" t="inlineStr">
        <is>
          <t>SALAZAR LAW</t>
        </is>
      </c>
      <c r="C94" t="inlineStr">
        <is>
          <t>MAHECHA</t>
        </is>
      </c>
      <c r="D94" t="inlineStr">
        <is>
          <t>6094</t>
        </is>
      </c>
      <c r="E94" s="18" t="n"/>
      <c r="F94" s="18" t="n"/>
      <c r="G94" s="18" t="n">
        <v>13187</v>
      </c>
    </row>
    <row r="95">
      <c r="A95" t="inlineStr">
        <is>
          <t>2023-04-19</t>
        </is>
      </c>
      <c r="B95" t="inlineStr">
        <is>
          <t>Eisner Advisory Group LLC</t>
        </is>
      </c>
      <c r="C95" t="inlineStr">
        <is>
          <t>Salazar Law: Mahecha (Drew Dillworth)</t>
        </is>
      </c>
      <c r="D95" t="inlineStr">
        <is>
          <t>1266826</t>
        </is>
      </c>
      <c r="E95" s="18" t="n"/>
      <c r="F95" s="18" t="n"/>
      <c r="G95" s="18" t="n">
        <v>10197</v>
      </c>
    </row>
    <row r="96">
      <c r="A96" t="inlineStr">
        <is>
          <t>2023-04-30</t>
        </is>
      </c>
      <c r="B96" t="inlineStr">
        <is>
          <t>SALAZAR LAW</t>
        </is>
      </c>
      <c r="C96" t="inlineStr">
        <is>
          <t>MAHECHA</t>
        </is>
      </c>
      <c r="D96" t="inlineStr">
        <is>
          <t>6170</t>
        </is>
      </c>
      <c r="E96" s="18" t="n"/>
      <c r="F96" s="18" t="n"/>
      <c r="G96" s="18" t="n">
        <v>36450</v>
      </c>
    </row>
    <row r="97">
      <c r="A97" t="inlineStr">
        <is>
          <t>2023-04-30</t>
        </is>
      </c>
      <c r="B97" t="inlineStr">
        <is>
          <t>SALAZAR LAW</t>
        </is>
      </c>
      <c r="C97" t="inlineStr">
        <is>
          <t>MAHECHA</t>
        </is>
      </c>
      <c r="D97" t="inlineStr">
        <is>
          <t>6166</t>
        </is>
      </c>
      <c r="E97" s="18" t="n"/>
      <c r="F97" s="18" t="n"/>
      <c r="G97" s="18" t="n">
        <v>14180</v>
      </c>
    </row>
    <row r="98">
      <c r="A98" t="inlineStr">
        <is>
          <t>2023-05-08</t>
        </is>
      </c>
      <c r="B98" t="inlineStr">
        <is>
          <t>THE FAIRWAY LLC - RICK SIMPSON</t>
        </is>
      </c>
      <c r="C98" t="inlineStr">
        <is>
          <t>CARLOS MAHECHA DIAZ</t>
        </is>
      </c>
      <c r="D98" t="inlineStr">
        <is>
          <t>#23-032</t>
        </is>
      </c>
      <c r="E98" s="18" t="n"/>
      <c r="F98" s="18" t="n"/>
      <c r="G98" s="18" t="n">
        <v>15000</v>
      </c>
      <c r="I98" s="19" t="inlineStr">
        <is>
          <t>https://drive.google.com/file/d/1SAThxrD_rmUgTBe5RvgcwrD0ML8lcgu_/view?usp=sharing</t>
        </is>
      </c>
    </row>
    <row r="99">
      <c r="A99" t="inlineStr">
        <is>
          <t>2023-05-08</t>
        </is>
      </c>
      <c r="B99" t="inlineStr">
        <is>
          <t>SILVIA PINERA VASQUEZ</t>
        </is>
      </c>
      <c r="C99" t="inlineStr">
        <is>
          <t>CARLOS MAHECHA DIAZ</t>
        </is>
      </c>
      <c r="D99" t="inlineStr">
        <is>
          <t>RETAINER FEE</t>
        </is>
      </c>
      <c r="E99" s="18" t="n"/>
      <c r="F99" s="18" t="n"/>
      <c r="G99" s="18" t="n">
        <v>500000</v>
      </c>
      <c r="I99" s="19" t="inlineStr">
        <is>
          <t>https://drive.google.com/file/d/1YklEUBL5eDslss7ae65NByT9L-aoHzi-/view?usp=sharing</t>
        </is>
      </c>
    </row>
    <row r="100">
      <c r="A100" t="inlineStr">
        <is>
          <t>2023-05-15</t>
        </is>
      </c>
      <c r="B100" t="inlineStr">
        <is>
          <t>Eisner Advisory Group LLC</t>
        </is>
      </c>
      <c r="C100" t="inlineStr">
        <is>
          <t>Salazar Law: Mahecha (Drew Dillworth)</t>
        </is>
      </c>
      <c r="D100" t="inlineStr">
        <is>
          <t>1285537</t>
        </is>
      </c>
      <c r="E100" s="18" t="n"/>
      <c r="F100" s="18" t="n"/>
      <c r="G100" s="18" t="n">
        <v>14160</v>
      </c>
    </row>
    <row r="101">
      <c r="A101" t="inlineStr">
        <is>
          <t>2023-05-31</t>
        </is>
      </c>
      <c r="B101" t="inlineStr">
        <is>
          <t>SALAZAR LAW</t>
        </is>
      </c>
      <c r="C101" t="inlineStr">
        <is>
          <t>MAHECHA</t>
        </is>
      </c>
      <c r="D101" t="inlineStr">
        <is>
          <t>6187</t>
        </is>
      </c>
      <c r="E101" s="18" t="n"/>
      <c r="F101" s="18" t="n"/>
      <c r="G101" s="18" t="n">
        <v>1153</v>
      </c>
    </row>
    <row r="102">
      <c r="A102" t="inlineStr">
        <is>
          <t>2023-05-31</t>
        </is>
      </c>
      <c r="B102" t="inlineStr">
        <is>
          <t>SALAZAR LAW</t>
        </is>
      </c>
      <c r="C102" t="inlineStr">
        <is>
          <t>MAHECHA</t>
        </is>
      </c>
      <c r="D102" t="inlineStr">
        <is>
          <t>6193</t>
        </is>
      </c>
      <c r="E102" s="18" t="n"/>
      <c r="F102" s="18" t="n"/>
      <c r="G102" s="18" t="n">
        <v>12405</v>
      </c>
    </row>
    <row r="103">
      <c r="A103" t="inlineStr">
        <is>
          <t>2023-06-01</t>
        </is>
      </c>
      <c r="B103" t="inlineStr">
        <is>
          <t>THE FAIRWAY LLC - RICK SIMPSON</t>
        </is>
      </c>
      <c r="C103" t="inlineStr">
        <is>
          <t>CARLOS MAHECHA DIAZ</t>
        </is>
      </c>
      <c r="D103" t="inlineStr">
        <is>
          <t>#23-038</t>
        </is>
      </c>
      <c r="E103" s="18" t="n"/>
      <c r="F103" s="18" t="n"/>
      <c r="G103" s="18" t="n">
        <v>15000</v>
      </c>
    </row>
    <row r="104">
      <c r="A104" t="inlineStr">
        <is>
          <t>2023-06-27</t>
        </is>
      </c>
      <c r="B104" t="inlineStr">
        <is>
          <t>Eisner Advisory Group LLC</t>
        </is>
      </c>
      <c r="C104" t="inlineStr">
        <is>
          <t>Salazar Law: Mahecha (Drew Dillworth)</t>
        </is>
      </c>
      <c r="D104" t="inlineStr">
        <is>
          <t>1304453</t>
        </is>
      </c>
      <c r="E104" s="18" t="n"/>
      <c r="F104" s="18" t="n"/>
      <c r="G104" s="18" t="n">
        <v>1484</v>
      </c>
    </row>
    <row r="105">
      <c r="A105" t="inlineStr">
        <is>
          <t>2023-06-30</t>
        </is>
      </c>
      <c r="B105" t="inlineStr">
        <is>
          <t>SALAZAR LAW</t>
        </is>
      </c>
      <c r="C105" t="inlineStr">
        <is>
          <t>MAHECHA</t>
        </is>
      </c>
      <c r="D105" t="inlineStr">
        <is>
          <t>6219</t>
        </is>
      </c>
      <c r="E105" s="18" t="n"/>
      <c r="F105" s="18" t="n"/>
      <c r="G105" s="18" t="n">
        <v>17976</v>
      </c>
    </row>
    <row r="106">
      <c r="A106" t="inlineStr">
        <is>
          <t>2023-06-30</t>
        </is>
      </c>
      <c r="B106" t="inlineStr">
        <is>
          <t>SALAZAR LAW</t>
        </is>
      </c>
      <c r="C106" t="inlineStr">
        <is>
          <t>MAHECHA</t>
        </is>
      </c>
      <c r="D106" t="inlineStr">
        <is>
          <t>6220</t>
        </is>
      </c>
      <c r="E106" s="18" t="n"/>
      <c r="F106" s="18" t="n"/>
      <c r="G106" s="18" t="n">
        <v>32774</v>
      </c>
    </row>
    <row r="107">
      <c r="A107" t="inlineStr">
        <is>
          <t>2023-07-19</t>
        </is>
      </c>
      <c r="B107" t="inlineStr">
        <is>
          <t>Eisner Advisory Group LLC</t>
        </is>
      </c>
      <c r="C107" t="inlineStr">
        <is>
          <t>Salazar Law: Mahecha (Drew Dillworth)</t>
        </is>
      </c>
      <c r="D107" t="inlineStr">
        <is>
          <t>1232022</t>
        </is>
      </c>
      <c r="E107" s="18" t="n"/>
      <c r="F107" s="18" t="n"/>
      <c r="G107" s="18" t="n">
        <v>8638</v>
      </c>
    </row>
    <row r="108">
      <c r="A108" t="inlineStr">
        <is>
          <t>2023-07-25</t>
        </is>
      </c>
      <c r="B108" t="inlineStr">
        <is>
          <t>THE FAIRWAY LLC - RICK SIMPSON</t>
        </is>
      </c>
      <c r="C108" t="inlineStr">
        <is>
          <t>CARLOS MAHECHA DIAZ</t>
        </is>
      </c>
      <c r="D108" t="inlineStr">
        <is>
          <t>#23-042</t>
        </is>
      </c>
      <c r="E108" s="18" t="n"/>
      <c r="F108" s="18" t="n"/>
      <c r="G108" s="18" t="n">
        <v>15000</v>
      </c>
      <c r="I108" s="19" t="inlineStr">
        <is>
          <t>https://drive.google.com/file/d/1fUqZxcH2aBL6EGL_3At5fgcr6F5frNlG/view?usp=sharing</t>
        </is>
      </c>
    </row>
    <row r="109">
      <c r="A109" t="inlineStr">
        <is>
          <t>2023-07-31</t>
        </is>
      </c>
      <c r="B109" t="inlineStr">
        <is>
          <t>SALAZAR LAW</t>
        </is>
      </c>
      <c r="C109" t="inlineStr">
        <is>
          <t>MAHECHA</t>
        </is>
      </c>
      <c r="D109" t="inlineStr">
        <is>
          <t>6240</t>
        </is>
      </c>
      <c r="E109" s="18" t="n"/>
      <c r="F109" s="18" t="n"/>
      <c r="G109" s="18" t="n">
        <v>22571</v>
      </c>
    </row>
    <row r="110">
      <c r="A110" t="inlineStr">
        <is>
          <t>2023-07-31</t>
        </is>
      </c>
      <c r="B110" t="inlineStr">
        <is>
          <t>SALAZAR LAW</t>
        </is>
      </c>
      <c r="C110" t="inlineStr">
        <is>
          <t>MAHECHA</t>
        </is>
      </c>
      <c r="D110" t="inlineStr">
        <is>
          <t>6241</t>
        </is>
      </c>
      <c r="E110" s="18" t="n"/>
      <c r="F110" s="18" t="n"/>
      <c r="G110" s="18" t="n">
        <v>77090</v>
      </c>
    </row>
    <row r="111">
      <c r="A111" t="inlineStr">
        <is>
          <t>2023-08-31</t>
        </is>
      </c>
      <c r="B111" t="inlineStr">
        <is>
          <t>SALAZAR LAW</t>
        </is>
      </c>
      <c r="C111" t="inlineStr">
        <is>
          <t>MAHECHA</t>
        </is>
      </c>
      <c r="D111" t="inlineStr">
        <is>
          <t>6256</t>
        </is>
      </c>
      <c r="E111" s="18" t="n"/>
      <c r="F111" s="18" t="n"/>
      <c r="G111" s="18" t="n">
        <v>17819</v>
      </c>
    </row>
    <row r="112">
      <c r="A112" t="inlineStr">
        <is>
          <t>2023-08-31</t>
        </is>
      </c>
      <c r="B112" t="inlineStr">
        <is>
          <t>SALAZAR LAW</t>
        </is>
      </c>
      <c r="C112" t="inlineStr">
        <is>
          <t>MAHECHA</t>
        </is>
      </c>
      <c r="D112" t="inlineStr">
        <is>
          <t>6257</t>
        </is>
      </c>
      <c r="E112" s="18" t="n"/>
      <c r="F112" s="18" t="n"/>
      <c r="G112" s="18" t="n">
        <v>30425</v>
      </c>
    </row>
    <row r="113">
      <c r="A113" t="inlineStr">
        <is>
          <t>2023-09-30</t>
        </is>
      </c>
      <c r="B113" t="inlineStr">
        <is>
          <t>SALAZAR LAW</t>
        </is>
      </c>
      <c r="C113" t="inlineStr">
        <is>
          <t>MAHECHA</t>
        </is>
      </c>
      <c r="D113" t="inlineStr">
        <is>
          <t>6278</t>
        </is>
      </c>
      <c r="E113" s="18" t="n"/>
      <c r="F113" s="18" t="n"/>
      <c r="G113" s="18" t="n">
        <v>37650</v>
      </c>
    </row>
    <row r="114">
      <c r="A114" t="inlineStr">
        <is>
          <t>2023-09-30</t>
        </is>
      </c>
      <c r="B114" t="inlineStr">
        <is>
          <t>SALAZAR LAW</t>
        </is>
      </c>
      <c r="C114" t="inlineStr">
        <is>
          <t>MAHECHA</t>
        </is>
      </c>
      <c r="D114" t="inlineStr">
        <is>
          <t>6279</t>
        </is>
      </c>
      <c r="E114" s="18" t="n"/>
      <c r="F114" s="18" t="n"/>
      <c r="G114" s="18" t="n">
        <v>19953</v>
      </c>
    </row>
    <row r="115">
      <c r="A115" t="inlineStr">
        <is>
          <t>2023-10-26</t>
        </is>
      </c>
      <c r="B115" t="inlineStr">
        <is>
          <t>Eisner Advisory Group LLC</t>
        </is>
      </c>
      <c r="C115" t="inlineStr">
        <is>
          <t>Salazar Law: Mahecha (Drew Dillworth)</t>
        </is>
      </c>
      <c r="D115" t="inlineStr">
        <is>
          <t>90019831</t>
        </is>
      </c>
      <c r="E115" s="18" t="n"/>
      <c r="F115" s="18" t="n"/>
      <c r="G115" s="18" t="n">
        <v>31287</v>
      </c>
    </row>
    <row r="116">
      <c r="A116" t="inlineStr">
        <is>
          <t>2023-10-31</t>
        </is>
      </c>
      <c r="B116" t="inlineStr">
        <is>
          <t>SALAZAR LAW</t>
        </is>
      </c>
      <c r="C116" t="inlineStr">
        <is>
          <t>MAHECHA</t>
        </is>
      </c>
      <c r="D116" t="inlineStr">
        <is>
          <t>6291</t>
        </is>
      </c>
      <c r="E116" s="18" t="n"/>
      <c r="F116" s="18" t="n"/>
      <c r="G116" s="18" t="n">
        <v>8236</v>
      </c>
    </row>
    <row r="117">
      <c r="A117" t="inlineStr">
        <is>
          <t>2023-10-31</t>
        </is>
      </c>
      <c r="B117" t="inlineStr">
        <is>
          <t>SALAZAR LAW</t>
        </is>
      </c>
      <c r="C117" t="inlineStr">
        <is>
          <t>MAHECHA</t>
        </is>
      </c>
      <c r="D117" t="inlineStr">
        <is>
          <t>6292</t>
        </is>
      </c>
      <c r="E117" s="18" t="n"/>
      <c r="F117" s="18" t="n"/>
      <c r="G117" s="18" t="n">
        <v>18078</v>
      </c>
    </row>
    <row r="118">
      <c r="A118" t="inlineStr">
        <is>
          <t>2023-11-22</t>
        </is>
      </c>
      <c r="B118" t="inlineStr">
        <is>
          <t>Eisner Advisory Group LLC</t>
        </is>
      </c>
      <c r="C118" t="inlineStr">
        <is>
          <t>Salazar Law: Mahecha (Drew Dillworth)</t>
        </is>
      </c>
      <c r="D118" t="inlineStr">
        <is>
          <t>90037116</t>
        </is>
      </c>
      <c r="E118" s="18" t="n"/>
      <c r="F118" s="18" t="n"/>
      <c r="G118" s="18" t="n">
        <v>44520</v>
      </c>
    </row>
    <row r="119">
      <c r="A119" t="inlineStr">
        <is>
          <t>2023-12-08</t>
        </is>
      </c>
      <c r="B119" t="inlineStr">
        <is>
          <t>SALAZAR LAW</t>
        </is>
      </c>
      <c r="C119" t="inlineStr">
        <is>
          <t>MAHECHA</t>
        </is>
      </c>
      <c r="D119" t="inlineStr">
        <is>
          <t>6295</t>
        </is>
      </c>
      <c r="E119" s="18" t="n"/>
      <c r="F119" s="18" t="n"/>
      <c r="G119" s="18" t="n">
        <v>32775</v>
      </c>
    </row>
    <row r="120">
      <c r="A120" t="inlineStr">
        <is>
          <t>2023-12-18</t>
        </is>
      </c>
      <c r="B120" t="inlineStr">
        <is>
          <t>Eisner Advisory Group LLC</t>
        </is>
      </c>
      <c r="C120" t="inlineStr">
        <is>
          <t>Salazar Law: Mahecha (Drew Dillworth)</t>
        </is>
      </c>
      <c r="D120" t="inlineStr">
        <is>
          <t>90053223</t>
        </is>
      </c>
      <c r="E120" s="18" t="n"/>
      <c r="F120" s="18" t="n"/>
      <c r="G120" s="18" t="n">
        <v>124143</v>
      </c>
    </row>
    <row r="121">
      <c r="A121" t="inlineStr">
        <is>
          <t>2023-12-31</t>
        </is>
      </c>
      <c r="B121" t="inlineStr">
        <is>
          <t>SALAZAR LAW</t>
        </is>
      </c>
      <c r="C121" t="inlineStr">
        <is>
          <t>MAHECHA</t>
        </is>
      </c>
      <c r="D121" t="inlineStr">
        <is>
          <t>6311</t>
        </is>
      </c>
      <c r="E121" s="18" t="n"/>
      <c r="F121" s="18" t="n"/>
      <c r="G121" s="18" t="n">
        <v>21235</v>
      </c>
    </row>
    <row r="122">
      <c r="A122" t="inlineStr">
        <is>
          <t>2023-12-31</t>
        </is>
      </c>
      <c r="B122" t="inlineStr">
        <is>
          <t>SALAZAR LAW</t>
        </is>
      </c>
      <c r="C122" t="inlineStr">
        <is>
          <t>MAHECHA</t>
        </is>
      </c>
      <c r="D122" t="inlineStr">
        <is>
          <t>6312</t>
        </is>
      </c>
      <c r="E122" s="18" t="n"/>
      <c r="F122" s="18" t="n"/>
      <c r="G122" s="18" t="n">
        <v>31187</v>
      </c>
    </row>
    <row r="123">
      <c r="A123" t="inlineStr">
        <is>
          <t>2024-01-25</t>
        </is>
      </c>
      <c r="B123" t="inlineStr">
        <is>
          <t>Eisner Advisory Group LLC</t>
        </is>
      </c>
      <c r="C123" t="inlineStr">
        <is>
          <t>Salazar Law: Mahecha (Drew Dillworth)</t>
        </is>
      </c>
      <c r="D123" t="inlineStr">
        <is>
          <t>90086868</t>
        </is>
      </c>
      <c r="E123" s="18" t="n"/>
      <c r="F123" s="18" t="n"/>
      <c r="G123" s="18" t="n">
        <v>11136</v>
      </c>
    </row>
    <row r="124">
      <c r="A124" t="inlineStr">
        <is>
          <t>2024-02-04</t>
        </is>
      </c>
      <c r="B124" t="inlineStr">
        <is>
          <t>SALAZAR LAW</t>
        </is>
      </c>
      <c r="C124" t="inlineStr">
        <is>
          <t>MAHECHA</t>
        </is>
      </c>
      <c r="D124" t="inlineStr">
        <is>
          <t>6334</t>
        </is>
      </c>
      <c r="E124" s="18" t="n"/>
      <c r="F124" s="18" t="n"/>
      <c r="G124" s="18" t="n">
        <v>17863</v>
      </c>
    </row>
    <row r="125">
      <c r="A125" t="inlineStr">
        <is>
          <t>2024-02-04</t>
        </is>
      </c>
      <c r="B125" t="inlineStr">
        <is>
          <t>SALAZAR LAW</t>
        </is>
      </c>
      <c r="C125" t="inlineStr">
        <is>
          <t>MAHECHA</t>
        </is>
      </c>
      <c r="D125" t="inlineStr">
        <is>
          <t>6335</t>
        </is>
      </c>
      <c r="E125" s="18" t="n"/>
      <c r="F125" s="18" t="n"/>
      <c r="G125" s="18" t="n">
        <v>5900</v>
      </c>
    </row>
    <row r="126">
      <c r="A126" t="inlineStr">
        <is>
          <t>2024-02-07</t>
        </is>
      </c>
      <c r="B126" t="inlineStr">
        <is>
          <t>BDO</t>
        </is>
      </c>
      <c r="C126" t="inlineStr">
        <is>
          <t>CARLOS MAHECHA DIAZ</t>
        </is>
      </c>
      <c r="D126" t="inlineStr">
        <is>
          <t>2157997</t>
        </is>
      </c>
      <c r="E126" s="18" t="n"/>
      <c r="F126" s="18" t="n"/>
      <c r="G126" s="18" t="n">
        <v>26502</v>
      </c>
    </row>
    <row r="127">
      <c r="A127" t="inlineStr">
        <is>
          <t>2024-02-23</t>
        </is>
      </c>
      <c r="B127" t="inlineStr">
        <is>
          <t>Eisner Advisory Group LLC</t>
        </is>
      </c>
      <c r="C127" t="inlineStr">
        <is>
          <t>Salazar Law: Mahecha (Drew Dillworth)</t>
        </is>
      </c>
      <c r="D127" t="inlineStr">
        <is>
          <t>90110737</t>
        </is>
      </c>
      <c r="E127" s="18" t="n"/>
      <c r="F127" s="18" t="n"/>
      <c r="G127" s="18" t="n">
        <v>8952</v>
      </c>
    </row>
    <row r="128">
      <c r="A128" t="inlineStr">
        <is>
          <t>2024-02-29</t>
        </is>
      </c>
      <c r="B128" t="inlineStr">
        <is>
          <t>SALAZAR LAW</t>
        </is>
      </c>
      <c r="C128" t="inlineStr">
        <is>
          <t>MAHECHA</t>
        </is>
      </c>
      <c r="D128" t="inlineStr">
        <is>
          <t>6342</t>
        </is>
      </c>
      <c r="E128" s="18" t="n"/>
      <c r="F128" s="18" t="n"/>
      <c r="G128" s="18" t="n">
        <v>21580</v>
      </c>
    </row>
    <row r="129">
      <c r="A129" t="inlineStr">
        <is>
          <t>2024-02-29</t>
        </is>
      </c>
      <c r="B129" t="inlineStr">
        <is>
          <t>SALAZAR LAW</t>
        </is>
      </c>
      <c r="C129" t="inlineStr">
        <is>
          <t>MAHECHA</t>
        </is>
      </c>
      <c r="D129" t="inlineStr">
        <is>
          <t>6343</t>
        </is>
      </c>
      <c r="E129" s="18" t="n"/>
      <c r="F129" s="18" t="n"/>
      <c r="G129" s="18" t="n">
        <v>75525</v>
      </c>
    </row>
    <row r="130">
      <c r="A130" t="inlineStr">
        <is>
          <t>2024-03-19</t>
        </is>
      </c>
      <c r="B130" t="inlineStr">
        <is>
          <t>THE FAIRWAY LLC - RICK SIMPSON</t>
        </is>
      </c>
      <c r="C130" t="inlineStr">
        <is>
          <t>CARLOS MAHECHA DIAZ</t>
        </is>
      </c>
      <c r="D130" t="inlineStr">
        <is>
          <t>#24-313</t>
        </is>
      </c>
      <c r="E130" s="18" t="n"/>
      <c r="F130" s="18" t="n"/>
      <c r="G130" s="18" t="n">
        <v>20000</v>
      </c>
      <c r="H130" t="inlineStr">
        <is>
          <t>MMG BANK - TREVANES LTD</t>
        </is>
      </c>
      <c r="I130" s="19" t="inlineStr">
        <is>
          <t>https://drive.google.com/file/d/1N2YN4etwMxBvAA30V1uOpCQoSXzizHWL/view?usp=sharing</t>
        </is>
      </c>
      <c r="J130" s="19" t="inlineStr">
        <is>
          <t>https://drive.google.com/file/d/1OV1PMFCxsi-ctLugsniekFXZYOhKiN4R/view?usp=sharing</t>
        </is>
      </c>
    </row>
    <row r="131">
      <c r="A131" t="inlineStr">
        <is>
          <t>2024-03-20</t>
        </is>
      </c>
      <c r="B131" t="inlineStr">
        <is>
          <t>THE FAIRWAY LLC - RICK SIMPSON</t>
        </is>
      </c>
      <c r="C131" t="inlineStr">
        <is>
          <t>CARLOS MAHECHA DIAZ</t>
        </is>
      </c>
      <c r="E131" s="18" t="n"/>
      <c r="F131" s="18" t="n"/>
      <c r="G131" s="18" t="n">
        <v>20000</v>
      </c>
      <c r="H131" t="inlineStr">
        <is>
          <t>MMG BANK - TREVANES LTD</t>
        </is>
      </c>
      <c r="I131" s="19" t="inlineStr">
        <is>
          <t>https://drive.google.com/file/d/15_mCGsWRD5JHfi9eHCNyqVzBGjnmteX5/view?usp=sharing</t>
        </is>
      </c>
    </row>
    <row r="132">
      <c r="A132" t="inlineStr">
        <is>
          <t>2024-03-14</t>
        </is>
      </c>
      <c r="B132" t="inlineStr">
        <is>
          <t>Eisner Advisory Group LLC</t>
        </is>
      </c>
      <c r="C132" t="inlineStr">
        <is>
          <t>Salazar Law: Mahecha (Drew Dillworth)</t>
        </is>
      </c>
      <c r="D132" t="inlineStr">
        <is>
          <t>90124021</t>
        </is>
      </c>
      <c r="E132" s="18" t="n"/>
      <c r="F132" s="18" t="n"/>
      <c r="G132" s="18" t="n">
        <v>50386</v>
      </c>
    </row>
    <row r="133">
      <c r="A133" t="inlineStr">
        <is>
          <t>2024-04-12</t>
        </is>
      </c>
      <c r="B133" t="inlineStr">
        <is>
          <t>SALAZAR LAW</t>
        </is>
      </c>
      <c r="C133" t="inlineStr">
        <is>
          <t>MAHECHA</t>
        </is>
      </c>
      <c r="D133" t="inlineStr">
        <is>
          <t>6362</t>
        </is>
      </c>
      <c r="E133" s="18" t="n"/>
      <c r="F133" s="18" t="n"/>
      <c r="G133" s="18" t="n">
        <v>20340</v>
      </c>
    </row>
    <row r="134">
      <c r="A134" t="inlineStr">
        <is>
          <t>2024-04-12</t>
        </is>
      </c>
      <c r="B134" t="inlineStr">
        <is>
          <t>SALAZAR LAW</t>
        </is>
      </c>
      <c r="C134" t="inlineStr">
        <is>
          <t>MAHECHA</t>
        </is>
      </c>
      <c r="D134" t="inlineStr">
        <is>
          <t>6360</t>
        </is>
      </c>
      <c r="E134" s="18" t="n"/>
      <c r="F134" s="18" t="n"/>
      <c r="G134" s="18" t="n">
        <v>114632</v>
      </c>
    </row>
    <row r="135">
      <c r="A135" t="inlineStr">
        <is>
          <t>2024-04-30</t>
        </is>
      </c>
      <c r="B135" t="inlineStr">
        <is>
          <t>Eisner Advisory Group LLC</t>
        </is>
      </c>
      <c r="C135" t="inlineStr">
        <is>
          <t>Salazar Law: Mahecha (Drew Dillworth)</t>
        </is>
      </c>
      <c r="D135" t="inlineStr">
        <is>
          <t>90159635</t>
        </is>
      </c>
      <c r="E135" s="18" t="n"/>
      <c r="F135" s="18" t="n"/>
      <c r="G135" s="18" t="n">
        <v>1957</v>
      </c>
    </row>
    <row r="136">
      <c r="A136" t="inlineStr">
        <is>
          <t>2024-04-30</t>
        </is>
      </c>
      <c r="B136" t="inlineStr">
        <is>
          <t>SALAZAR LAW</t>
        </is>
      </c>
      <c r="C136" t="inlineStr">
        <is>
          <t>MAHECHA</t>
        </is>
      </c>
      <c r="D136" t="inlineStr">
        <is>
          <t>6384</t>
        </is>
      </c>
      <c r="E136" s="18" t="n"/>
      <c r="F136" s="18" t="n"/>
      <c r="G136" s="18" t="n">
        <v>350000</v>
      </c>
      <c r="H136" t="inlineStr">
        <is>
          <t>MMG TREVANES LTD</t>
        </is>
      </c>
      <c r="I136" s="19" t="inlineStr">
        <is>
          <t>https://drive.google.com/file/d/1Penp3gTMqtJQuglKXbC9eZIw_LKC-xoP/view?usp=sharing</t>
        </is>
      </c>
      <c r="J136" s="19" t="inlineStr">
        <is>
          <t>https://drive.google.com/file/d/1IYse4pGGf8Q_H62baF4iSBmoU4zTqq9D/view?usp=sharing</t>
        </is>
      </c>
    </row>
    <row r="137">
      <c r="A137" t="inlineStr">
        <is>
          <t>2024-05-03</t>
        </is>
      </c>
      <c r="B137" t="inlineStr">
        <is>
          <t>BDO</t>
        </is>
      </c>
      <c r="C137" t="inlineStr">
        <is>
          <t>CARLOS MAHECHA DIAZ</t>
        </is>
      </c>
      <c r="D137" t="inlineStr">
        <is>
          <t>2220204</t>
        </is>
      </c>
      <c r="E137" s="18" t="n"/>
      <c r="F137" s="18" t="n"/>
      <c r="G137" s="18" t="n">
        <v>12819</v>
      </c>
    </row>
    <row r="138">
      <c r="A138" t="inlineStr">
        <is>
          <t>2024-05-10</t>
        </is>
      </c>
      <c r="B138" t="inlineStr">
        <is>
          <t>SALAZAR LAW</t>
        </is>
      </c>
      <c r="C138" t="inlineStr">
        <is>
          <t>MAHECHA</t>
        </is>
      </c>
      <c r="D138" t="inlineStr">
        <is>
          <t>6397</t>
        </is>
      </c>
      <c r="E138" s="18" t="n"/>
      <c r="F138" s="18" t="n"/>
      <c r="G138" s="18" t="n">
        <v>19217</v>
      </c>
      <c r="I138" s="19" t="inlineStr">
        <is>
          <t>https://drive.google.com/file/d/1VOUjA1kbqAnXh0-L-OOcPp-YkWxQp13M/view?usp=sharing</t>
        </is>
      </c>
      <c r="J138" s="19" t="inlineStr">
        <is>
          <t>https://drive.google.com/file/d/1EPyaILL3EaHFrAcLOtxDsHF2SLLfldNT/view?usp=sharing</t>
        </is>
      </c>
    </row>
    <row r="139">
      <c r="A139" t="inlineStr">
        <is>
          <t>2024-06-17</t>
        </is>
      </c>
      <c r="B139" t="inlineStr">
        <is>
          <t>SALAZAR LAW</t>
        </is>
      </c>
      <c r="C139" t="inlineStr">
        <is>
          <t>MAHECHA</t>
        </is>
      </c>
      <c r="D139" t="inlineStr">
        <is>
          <t>6420</t>
        </is>
      </c>
      <c r="E139" s="18" t="n"/>
      <c r="F139" s="18" t="n"/>
      <c r="G139" s="18" t="n">
        <v>22772</v>
      </c>
    </row>
    <row r="140">
      <c r="A140" t="inlineStr">
        <is>
          <t>2024-06-30</t>
        </is>
      </c>
      <c r="B140" t="inlineStr">
        <is>
          <t>SALAZAR LAW</t>
        </is>
      </c>
      <c r="C140" t="inlineStr">
        <is>
          <t>MAHECHA</t>
        </is>
      </c>
      <c r="D140" t="inlineStr">
        <is>
          <t>6431</t>
        </is>
      </c>
      <c r="E140" s="18" t="n"/>
      <c r="F140" s="18" t="n"/>
      <c r="G140" s="18" t="n">
        <v>18947</v>
      </c>
    </row>
    <row r="141">
      <c r="A141" t="inlineStr">
        <is>
          <t>2024-07-31</t>
        </is>
      </c>
      <c r="B141" t="inlineStr">
        <is>
          <t>Eisner Advisory Group LLC</t>
        </is>
      </c>
      <c r="C141" t="inlineStr">
        <is>
          <t>Salazar Law: Mahecha (Drew Dillworth)</t>
        </is>
      </c>
      <c r="D141" t="inlineStr">
        <is>
          <t>90252369</t>
        </is>
      </c>
      <c r="E141" s="18" t="n"/>
      <c r="F141" s="18" t="n"/>
      <c r="G141" s="18" t="n">
        <v>26475</v>
      </c>
    </row>
    <row r="142">
      <c r="A142" t="inlineStr">
        <is>
          <t>2024-08-01</t>
        </is>
      </c>
      <c r="B142" t="inlineStr">
        <is>
          <t>COOPER STRATEGIC SOLUTIONS</t>
        </is>
      </c>
      <c r="C142" t="inlineStr">
        <is>
          <t>SILVIA PINERA ATT-</t>
        </is>
      </c>
      <c r="D142" t="inlineStr">
        <is>
          <t>1002</t>
        </is>
      </c>
      <c r="E142" s="18" t="n"/>
      <c r="F142" s="18" t="n"/>
      <c r="G142" s="18" t="n">
        <v>102525</v>
      </c>
      <c r="H142" t="inlineStr">
        <is>
          <t>MMG BANK TREVANES LTD - SILVIA - COOPER</t>
        </is>
      </c>
      <c r="I142" s="19" t="inlineStr">
        <is>
          <t>https://drive.google.com/file/d/1YNU5SVusj6ndAFBr8zYaEOWJHFCOamOh/view?usp=sharing</t>
        </is>
      </c>
      <c r="J142" s="19" t="inlineStr">
        <is>
          <t>https://drive.google.com/file/d/1Woy6T-hOMiUeoyW5cw4vekoai2_evJvv/view?usp=sharing</t>
        </is>
      </c>
      <c r="K142" s="19" t="inlineStr">
        <is>
          <t>https://drive.google.com/file/d/13vnFTokPyo7bpzD8oH6aWRZz5CwjTG8e/view?usp=sharing</t>
        </is>
      </c>
    </row>
    <row r="143">
      <c r="A143" t="inlineStr">
        <is>
          <t>2024-08-15</t>
        </is>
      </c>
      <c r="B143" t="inlineStr">
        <is>
          <t>SALAZAR LAW</t>
        </is>
      </c>
      <c r="C143" t="inlineStr">
        <is>
          <t>MAHECHA</t>
        </is>
      </c>
      <c r="D143" t="inlineStr">
        <is>
          <t>6454</t>
        </is>
      </c>
      <c r="E143" s="18" t="n"/>
      <c r="F143" s="18" t="n"/>
      <c r="G143" s="18" t="n">
        <v>37508</v>
      </c>
      <c r="I143" s="19" t="inlineStr">
        <is>
          <t>https://drive.google.com/file/d/1yqDOou7MHwE3FUXycU78De-lPsKt6a9i/view?usp=sharing</t>
        </is>
      </c>
      <c r="J143" s="19" t="inlineStr">
        <is>
          <t>https://drive.google.com/file/d/1xwVHq6x3VXPmI2PaJr20YM-xN86YNn05/view?usp=sharing</t>
        </is>
      </c>
    </row>
    <row r="144">
      <c r="A144" t="inlineStr">
        <is>
          <t>2024-09-05</t>
        </is>
      </c>
      <c r="B144" t="inlineStr">
        <is>
          <t>BDO</t>
        </is>
      </c>
      <c r="C144" t="inlineStr">
        <is>
          <t>CARLOS MAHECHA DIAZ</t>
        </is>
      </c>
      <c r="D144" t="inlineStr">
        <is>
          <t>2284774</t>
        </is>
      </c>
      <c r="E144" s="18" t="n"/>
      <c r="F144" s="18" t="n"/>
      <c r="G144" s="18" t="n">
        <v>13690</v>
      </c>
    </row>
    <row r="145">
      <c r="A145" t="inlineStr">
        <is>
          <t>2024-09-20</t>
        </is>
      </c>
      <c r="B145" t="inlineStr">
        <is>
          <t>COOPER STRATEGIC SOLUTIONS</t>
        </is>
      </c>
      <c r="C145" t="inlineStr">
        <is>
          <t>SILVIA PINERA ATT-</t>
        </is>
      </c>
      <c r="D145" t="inlineStr">
        <is>
          <t>1002</t>
        </is>
      </c>
      <c r="E145" s="18" t="n"/>
      <c r="F145" s="18" t="n"/>
      <c r="G145" s="18" t="n">
        <v>60000</v>
      </c>
      <c r="I145" s="19" t="inlineStr">
        <is>
          <t>https://drive.google.com/file/d/1SfFbT1kysA1DuA4OAldYtxT-hmyyDjc1/view?usp=sharing</t>
        </is>
      </c>
      <c r="J145" s="19" t="inlineStr">
        <is>
          <t>https://drive.google.com/file/d/1S6AZoU5HnIdcOBXrRyPNtGJQ_BtY3P9F/view?usp=sharing</t>
        </is>
      </c>
    </row>
    <row r="146">
      <c r="A146" t="inlineStr">
        <is>
          <t>2024-09-30</t>
        </is>
      </c>
      <c r="B146" t="inlineStr">
        <is>
          <t>SALAZAR LAW</t>
        </is>
      </c>
      <c r="C146" t="inlineStr">
        <is>
          <t>MAHECHA</t>
        </is>
      </c>
      <c r="D146" t="inlineStr">
        <is>
          <t>6579</t>
        </is>
      </c>
      <c r="E146" s="18" t="n"/>
      <c r="F146" s="18" t="n"/>
      <c r="G146" s="18" t="n">
        <v>17143</v>
      </c>
    </row>
    <row r="147">
      <c r="A147" t="inlineStr">
        <is>
          <t>2024-10-18</t>
        </is>
      </c>
      <c r="B147" t="inlineStr">
        <is>
          <t>THE FAIRWAY LLC - RICK SIMPSON</t>
        </is>
      </c>
      <c r="C147" t="inlineStr">
        <is>
          <t>CARLOS MAHECHA DIAZ</t>
        </is>
      </c>
      <c r="D147" t="inlineStr">
        <is>
          <t>24-1015</t>
        </is>
      </c>
      <c r="E147" s="18" t="n"/>
      <c r="F147" s="18" t="n"/>
      <c r="G147" s="18" t="n">
        <v>25000</v>
      </c>
      <c r="H147" t="inlineStr">
        <is>
          <t>Bank of America Camilo - Pagina 6 ( 25.000 Cheque)</t>
        </is>
      </c>
      <c r="I147" s="19" t="inlineStr">
        <is>
          <t>https://drive.google.com/file/d/1XljdxlGIy_RdzcpB9-4KNeVtG34yX-fS/view?usp=sharing</t>
        </is>
      </c>
    </row>
    <row r="148">
      <c r="A148" t="inlineStr">
        <is>
          <t>2024-10-31</t>
        </is>
      </c>
      <c r="B148" t="inlineStr">
        <is>
          <t>COOPER STRATEGIC SOLUTIONS</t>
        </is>
      </c>
      <c r="C148" t="inlineStr">
        <is>
          <t>SILVIA PINERA ATT-</t>
        </is>
      </c>
      <c r="D148" t="inlineStr">
        <is>
          <t>1002</t>
        </is>
      </c>
      <c r="E148" s="18" t="n"/>
      <c r="F148" s="18" t="n"/>
      <c r="G148" s="18" t="n">
        <v>37475</v>
      </c>
      <c r="H148" t="inlineStr">
        <is>
          <t>SILVIA CON DEVOLUCION FIANZA</t>
        </is>
      </c>
      <c r="I148" s="19" t="inlineStr">
        <is>
          <t>https://drive.google.com/file/d/1onmXBgXdV9iDuOm5LbxKV1ym7joo7koO/view?usp=sharing</t>
        </is>
      </c>
      <c r="J148" s="19" t="inlineStr">
        <is>
          <t>https://drive.google.com/file/d/1_CgSWuwM10pb2erOgPPklVaKXIIbMnDX/view?usp=sharing</t>
        </is>
      </c>
    </row>
    <row r="149">
      <c r="A149" t="inlineStr">
        <is>
          <t>2024-11-08</t>
        </is>
      </c>
      <c r="B149" t="inlineStr">
        <is>
          <t>Alvarez &amp; Marsal Valuation Services</t>
        </is>
      </c>
      <c r="C149" t="inlineStr">
        <is>
          <t>CARLOS MAHECHA DIAZ</t>
        </is>
      </c>
      <c r="D149" t="inlineStr">
        <is>
          <t>859245 11-24</t>
        </is>
      </c>
      <c r="E149" s="18" t="n"/>
      <c r="F149" s="18" t="n"/>
      <c r="G149" s="18" t="n">
        <v>15000</v>
      </c>
      <c r="J149" s="19" t="inlineStr">
        <is>
          <t>https://drive.google.com/file/d/1Ato2OddusGeUk8NTms4yWvGyWkzIjv_w/view?usp=sharing</t>
        </is>
      </c>
    </row>
    <row r="150">
      <c r="A150" t="inlineStr">
        <is>
          <t>2024-11-23</t>
        </is>
      </c>
      <c r="B150" t="inlineStr">
        <is>
          <t>THE FAIRWAY LLC - RICK SIMPSON</t>
        </is>
      </c>
      <c r="C150" t="inlineStr">
        <is>
          <t>CARLOS MAHECHA DIAZ</t>
        </is>
      </c>
      <c r="D150" t="inlineStr">
        <is>
          <t>Invoice 24-1123</t>
        </is>
      </c>
      <c r="E150" s="18" t="n"/>
      <c r="F150" s="18" t="n"/>
      <c r="G150" s="18" t="n">
        <v>10260</v>
      </c>
      <c r="I150" s="19" t="inlineStr">
        <is>
          <t>https://drive.google.com/file/d/1uT0Ov8nxZQLjT_F79p_mkOhnBxDykbo0/view?usp=sharing</t>
        </is>
      </c>
    </row>
    <row r="151">
      <c r="A151" t="inlineStr">
        <is>
          <t>2024-11-30</t>
        </is>
      </c>
      <c r="B151" t="inlineStr">
        <is>
          <t>SALAZAR LAW</t>
        </is>
      </c>
      <c r="C151" t="inlineStr">
        <is>
          <t>MAHECHA</t>
        </is>
      </c>
      <c r="D151" t="inlineStr">
        <is>
          <t>6648</t>
        </is>
      </c>
      <c r="E151" s="18" t="n"/>
      <c r="F151" s="18" t="n"/>
      <c r="G151" s="18" t="n">
        <v>21455</v>
      </c>
      <c r="H151" t="inlineStr">
        <is>
          <t>Se Pago Devolucion Fianza - Silvia - Salazar</t>
        </is>
      </c>
      <c r="I151" s="19" t="inlineStr">
        <is>
          <t>https://drive.google.com/file/d/1ADIJpsYzoRjVHsjJWQftaIK0NzBoruvA/view?usp=sharing</t>
        </is>
      </c>
    </row>
    <row r="152">
      <c r="A152" t="inlineStr">
        <is>
          <t>2024-11-30</t>
        </is>
      </c>
      <c r="B152" t="inlineStr">
        <is>
          <t>Eisner Advisory Group LLC</t>
        </is>
      </c>
      <c r="C152" t="inlineStr">
        <is>
          <t>Salazar Law: Mahecha (Drew Dillworth)</t>
        </is>
      </c>
      <c r="D152" t="inlineStr">
        <is>
          <t>90337230</t>
        </is>
      </c>
      <c r="E152" s="18" t="n"/>
      <c r="F152" s="18" t="n"/>
      <c r="G152" s="18" t="n">
        <v>4769</v>
      </c>
    </row>
    <row r="153">
      <c r="F153" s="7" t="inlineStr">
        <is>
          <t>TOTAL</t>
        </is>
      </c>
      <c r="G153" s="18">
        <f>SUM(G3:G152)</f>
        <v/>
      </c>
    </row>
  </sheetData>
  <hyperlinks>
    <hyperlink xmlns:r="http://schemas.openxmlformats.org/officeDocument/2006/relationships" ref="I5" r:id="rId1"/>
    <hyperlink xmlns:r="http://schemas.openxmlformats.org/officeDocument/2006/relationships" ref="I12" r:id="rId2"/>
    <hyperlink xmlns:r="http://schemas.openxmlformats.org/officeDocument/2006/relationships" ref="I24" r:id="rId3"/>
    <hyperlink xmlns:r="http://schemas.openxmlformats.org/officeDocument/2006/relationships" ref="I44" r:id="rId4"/>
    <hyperlink xmlns:r="http://schemas.openxmlformats.org/officeDocument/2006/relationships" ref="I53" r:id="rId5"/>
    <hyperlink xmlns:r="http://schemas.openxmlformats.org/officeDocument/2006/relationships" ref="J53" r:id="rId6"/>
    <hyperlink xmlns:r="http://schemas.openxmlformats.org/officeDocument/2006/relationships" ref="I86" r:id="rId7"/>
    <hyperlink xmlns:r="http://schemas.openxmlformats.org/officeDocument/2006/relationships" ref="J86" r:id="rId8"/>
    <hyperlink xmlns:r="http://schemas.openxmlformats.org/officeDocument/2006/relationships" ref="I98" r:id="rId9"/>
    <hyperlink xmlns:r="http://schemas.openxmlformats.org/officeDocument/2006/relationships" ref="I99" r:id="rId10"/>
    <hyperlink xmlns:r="http://schemas.openxmlformats.org/officeDocument/2006/relationships" ref="I108" r:id="rId11"/>
    <hyperlink xmlns:r="http://schemas.openxmlformats.org/officeDocument/2006/relationships" ref="I130" r:id="rId12"/>
    <hyperlink xmlns:r="http://schemas.openxmlformats.org/officeDocument/2006/relationships" ref="J130" r:id="rId13"/>
    <hyperlink xmlns:r="http://schemas.openxmlformats.org/officeDocument/2006/relationships" ref="I131" r:id="rId14"/>
    <hyperlink xmlns:r="http://schemas.openxmlformats.org/officeDocument/2006/relationships" ref="I136" r:id="rId15"/>
    <hyperlink xmlns:r="http://schemas.openxmlformats.org/officeDocument/2006/relationships" ref="J136" r:id="rId16"/>
    <hyperlink xmlns:r="http://schemas.openxmlformats.org/officeDocument/2006/relationships" ref="I138" r:id="rId17"/>
    <hyperlink xmlns:r="http://schemas.openxmlformats.org/officeDocument/2006/relationships" ref="J138" r:id="rId18"/>
    <hyperlink xmlns:r="http://schemas.openxmlformats.org/officeDocument/2006/relationships" ref="I142" r:id="rId19"/>
    <hyperlink xmlns:r="http://schemas.openxmlformats.org/officeDocument/2006/relationships" ref="J142" r:id="rId20"/>
    <hyperlink xmlns:r="http://schemas.openxmlformats.org/officeDocument/2006/relationships" ref="K142" r:id="rId21"/>
    <hyperlink xmlns:r="http://schemas.openxmlformats.org/officeDocument/2006/relationships" ref="I143" r:id="rId22"/>
    <hyperlink xmlns:r="http://schemas.openxmlformats.org/officeDocument/2006/relationships" ref="J143" r:id="rId23"/>
    <hyperlink xmlns:r="http://schemas.openxmlformats.org/officeDocument/2006/relationships" ref="I145" r:id="rId24"/>
    <hyperlink xmlns:r="http://schemas.openxmlformats.org/officeDocument/2006/relationships" ref="J145" r:id="rId25"/>
    <hyperlink xmlns:r="http://schemas.openxmlformats.org/officeDocument/2006/relationships" ref="I147" r:id="rId26"/>
    <hyperlink xmlns:r="http://schemas.openxmlformats.org/officeDocument/2006/relationships" ref="I148" r:id="rId27"/>
    <hyperlink xmlns:r="http://schemas.openxmlformats.org/officeDocument/2006/relationships" ref="J148" r:id="rId28"/>
    <hyperlink xmlns:r="http://schemas.openxmlformats.org/officeDocument/2006/relationships" ref="J149" r:id="rId29"/>
    <hyperlink xmlns:r="http://schemas.openxmlformats.org/officeDocument/2006/relationships" ref="I150" r:id="rId30"/>
    <hyperlink xmlns:r="http://schemas.openxmlformats.org/officeDocument/2006/relationships" ref="I151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2026-10-15T14:17:16Z</dcterms:created>
  <dcterms:modified xmlns:dcterms="http://purl.org/dc/terms/" xmlns:xsi="http://www.w3.org/2001/XMLSchema-instance" xsi:type="dcterms:W3CDTF">2026-10-15T14:17:16Z</dcterms:modified>
</cp:coreProperties>
</file>